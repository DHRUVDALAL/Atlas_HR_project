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B425AF2B7E25D6AC9B9DF3A7828EB3218A784F40" xr6:coauthVersionLast="47" xr6:coauthVersionMax="47" xr10:uidLastSave="{9D482EE2-8BF0-4B46-A4D0-31046CF3C115}"/>
  <bookViews>
    <workbookView xWindow="0" yWindow="0" windowWidth="16384" windowHeight="8192" tabRatio="500" xr2:uid="{00000000-000D-0000-FFFF-FFFF00000000}"/>
  </bookViews>
  <sheets>
    <sheet name="Read Me" sheetId="1" r:id="rId1"/>
    <sheet name="Upload_Master" sheetId="2" r:id="rId2"/>
    <sheet name="Module_Index" sheetId="3" r:id="rId3"/>
    <sheet name="Rating_Scale" sheetId="4" r:id="rId4"/>
  </sheets>
  <definedNames>
    <definedName name="_xlnm._FilterDatabase" localSheetId="1" hidden="1">Upload_Master!$A$1:$I$194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3" l="1"/>
  <c r="D11" i="3"/>
  <c r="C11" i="3"/>
  <c r="F11" i="3" s="1"/>
  <c r="E10" i="3"/>
  <c r="D10" i="3"/>
  <c r="C10" i="3"/>
  <c r="F10" i="3" s="1"/>
  <c r="E9" i="3"/>
  <c r="D9" i="3"/>
  <c r="C9" i="3"/>
  <c r="F9" i="3" s="1"/>
  <c r="E8" i="3"/>
  <c r="D8" i="3"/>
  <c r="C8" i="3"/>
  <c r="F8" i="3" s="1"/>
  <c r="E7" i="3"/>
  <c r="D7" i="3"/>
  <c r="C7" i="3"/>
  <c r="F7" i="3" s="1"/>
  <c r="E6" i="3"/>
  <c r="D6" i="3"/>
  <c r="C6" i="3"/>
  <c r="F6" i="3" s="1"/>
  <c r="E5" i="3"/>
  <c r="D5" i="3"/>
  <c r="C5" i="3"/>
  <c r="F5" i="3" s="1"/>
  <c r="E4" i="3"/>
  <c r="D4" i="3"/>
  <c r="C4" i="3"/>
  <c r="F4" i="3" s="1"/>
  <c r="E3" i="3"/>
  <c r="D3" i="3"/>
  <c r="C3" i="3"/>
  <c r="F3" i="3" s="1"/>
  <c r="E2" i="3"/>
  <c r="E12" i="3" s="1"/>
  <c r="D2" i="3"/>
  <c r="D12" i="3" s="1"/>
  <c r="C2" i="3"/>
  <c r="C12" i="3" s="1"/>
  <c r="F2" i="3" l="1"/>
  <c r="F12" i="3" s="1"/>
</calcChain>
</file>

<file path=xl/sharedStrings.xml><?xml version="1.0" encoding="utf-8"?>
<sst xmlns="http://schemas.openxmlformats.org/spreadsheetml/2006/main" count="1631" uniqueCount="578">
  <si>
    <t>Abhiyanta India Solutions — SAP Technical Interview Question Bank (Enhanced)</t>
  </si>
  <si>
    <t>Arranged by experience bracket | Upload-ready flat master for the evaluation application</t>
  </si>
  <si>
    <t>How to use</t>
  </si>
  <si>
    <t>1.</t>
  </si>
  <si>
    <t>'Upload_Master' is the flat sheet for the evaluation application import — one row per question, stable Question_IDs.</t>
  </si>
  <si>
    <t>2.</t>
  </si>
  <si>
    <t>Filter by Module_Code and Experience_Bracket to pull the right set for a candidate's profile.</t>
  </si>
  <si>
    <t>3.</t>
  </si>
  <si>
    <t>Brackets are cumulative for senior candidates: a 7+ yrs candidate should also clear key 3-7 yrs items.</t>
  </si>
  <si>
    <t>4.</t>
  </si>
  <si>
    <t>'Module_Index' shows question counts per module per bracket (formula-driven).</t>
  </si>
  <si>
    <t>5.</t>
  </si>
  <si>
    <t>'Rating_Scale' holds the dropdown values to import as the app's rating options.</t>
  </si>
  <si>
    <t>Experience brackets</t>
  </si>
  <si>
    <t>L1  —  0-3 yrs</t>
  </si>
  <si>
    <t>Associate / Junior Consultant — fundamentals, cycles, master data, basic processing</t>
  </si>
  <si>
    <t>L2  —  3-7 yrs</t>
  </si>
  <si>
    <t>Consultant / Sr Consultant — configuration depth, integration, statutory, period-end</t>
  </si>
  <si>
    <t>L3  —  7+ yrs</t>
  </si>
  <si>
    <t>Lead / Architect — S/4HANA innovations, design decisions, advisory, cloud &amp; AI awareness</t>
  </si>
  <si>
    <t>Rating scale</t>
  </si>
  <si>
    <t>Good</t>
  </si>
  <si>
    <t>Strong, hands-on, can work independently</t>
  </si>
  <si>
    <t>OK</t>
  </si>
  <si>
    <t>Working knowledge, productive with light guidance</t>
  </si>
  <si>
    <t>Basic</t>
  </si>
  <si>
    <t>Conceptual only / theoretical</t>
  </si>
  <si>
    <t>Has knowledge (not worked)</t>
  </si>
  <si>
    <t>Understands but no project exposure</t>
  </si>
  <si>
    <t>Not worked</t>
  </si>
  <si>
    <t>No exposure</t>
  </si>
  <si>
    <t>Bad</t>
  </si>
  <si>
    <t>Gap / unsatisfactory</t>
  </si>
  <si>
    <t>Source column</t>
  </si>
  <si>
    <t>'Original' = topic from the earlier interview sheets  |  'New' = appended enhancement (S/4HANA, cloud, AI, advisory)</t>
  </si>
  <si>
    <t>www.abhiyantatech.com   |   Internal — Recruitment use only</t>
  </si>
  <si>
    <t>Question_ID</t>
  </si>
  <si>
    <t>Module_Code</t>
  </si>
  <si>
    <t>Module_Name</t>
  </si>
  <si>
    <t>Experience_Bracket</t>
  </si>
  <si>
    <t>Bracket_Label</t>
  </si>
  <si>
    <t>Topic_Category</t>
  </si>
  <si>
    <t>Question_Topic</t>
  </si>
  <si>
    <t>Source</t>
  </si>
  <si>
    <t>Rating (leave blank — filled in app)</t>
  </si>
  <si>
    <t>FI-L1-01</t>
  </si>
  <si>
    <t>FI</t>
  </si>
  <si>
    <t>Financial Accounting</t>
  </si>
  <si>
    <t>0-3 yrs</t>
  </si>
  <si>
    <t>Associate / Junior (0-3 yrs)</t>
  </si>
  <si>
    <t>Core Postings</t>
  </si>
  <si>
    <t>Accounting entries — basic postings &amp; sub-ledger logic (AP/AR/GL)</t>
  </si>
  <si>
    <t>Original</t>
  </si>
  <si>
    <t>FI-L1-02</t>
  </si>
  <si>
    <t>Org Structure</t>
  </si>
  <si>
    <t>Chart of Accounts — importance and how it is finalised with the client</t>
  </si>
  <si>
    <t>FI-L1-03</t>
  </si>
  <si>
    <t>Profit Centres — use for FI org. structure</t>
  </si>
  <si>
    <t>FI-L1-04</t>
  </si>
  <si>
    <t>Banking</t>
  </si>
  <si>
    <t>Bank reconciliation — manual process &amp; basic EBS concept</t>
  </si>
  <si>
    <t>FI-L1-05</t>
  </si>
  <si>
    <t>Statutory</t>
  </si>
  <si>
    <t>Withholding tax (TDS) — how it works</t>
  </si>
  <si>
    <t>FI-L1-06</t>
  </si>
  <si>
    <t>Master Data</t>
  </si>
  <si>
    <t>GL account groups, field status groups &amp; reconciliation accounts</t>
  </si>
  <si>
    <t>New</t>
  </si>
  <si>
    <t>FI-L1-07</t>
  </si>
  <si>
    <t>Document types, number ranges &amp; posting keys</t>
  </si>
  <si>
    <t>FI-L2-01</t>
  </si>
  <si>
    <t>3-7 yrs</t>
  </si>
  <si>
    <t>Consultant / Sr Consultant (3-7 yrs)</t>
  </si>
  <si>
    <t>Integration</t>
  </si>
  <si>
    <t>MM-FI integration — OBYC: BSX, PRD, GBB / Valuation Class / mvt 261, 101</t>
  </si>
  <si>
    <t>FI-L2-02</t>
  </si>
  <si>
    <t>FI-SD integration — VKOA: account assignment groups, accounting key, SD condition type</t>
  </si>
  <si>
    <t>FI-L2-03</t>
  </si>
  <si>
    <t>GST — configuration &amp; day-to-day handling</t>
  </si>
  <si>
    <t>FI-L2-04</t>
  </si>
  <si>
    <t>Taxes in SAP — tax code, condition record, tax procedure, access sequence (OB40)</t>
  </si>
  <si>
    <t>FI-L2-05</t>
  </si>
  <si>
    <t>Electronic bank statement (EBS) — formats, posting rules, interpretation algorithms</t>
  </si>
  <si>
    <t>FI-L2-06</t>
  </si>
  <si>
    <t>Payments</t>
  </si>
  <si>
    <t>Automatic Payment Program (APP / F110) — config, payment methods, exceptions</t>
  </si>
  <si>
    <t>FI-L2-07</t>
  </si>
  <si>
    <t>Reporting</t>
  </si>
  <si>
    <t>Profit Centres — product-line / segment profitability</t>
  </si>
  <si>
    <t>FI-L2-08</t>
  </si>
  <si>
    <t>Migration</t>
  </si>
  <si>
    <t>Data migration — assets, balances, stock balances; migration cockpit vs LSMW/LTMC</t>
  </si>
  <si>
    <t>FI-L2-09</t>
  </si>
  <si>
    <t>Technical</t>
  </si>
  <si>
    <t>ABAP awareness — BDC, LSMW, custom programs, debugging a posting issue</t>
  </si>
  <si>
    <t>FI-L2-10</t>
  </si>
  <si>
    <t>Asset Accounting</t>
  </si>
  <si>
    <t>Depreciation areas and keys — configuration &amp; period-end run (AFAB)</t>
  </si>
  <si>
    <t>FI-L2-11</t>
  </si>
  <si>
    <t>e-Invoicing (IRN/IRP) &amp; e-Way bill integration in FI/SD flow</t>
  </si>
  <si>
    <t>FI-L2-12</t>
  </si>
  <si>
    <t>Business Partner (BP) &amp; Customer-Vendor Integration (CVI) in S/4HANA</t>
  </si>
  <si>
    <t>FI-L3-01</t>
  </si>
  <si>
    <t>7+ yrs</t>
  </si>
  <si>
    <t>Lead / Architect (7+ yrs)</t>
  </si>
  <si>
    <t>New GL</t>
  </si>
  <si>
    <t>Document splitting — scenarios, splitting rules, zero-balancing</t>
  </si>
  <si>
    <t>FI-L3-02</t>
  </si>
  <si>
    <t>Parallel ledger / ledger approach — leading vs non-leading, accounting principles</t>
  </si>
  <si>
    <t>FI-L3-03</t>
  </si>
  <si>
    <t>Period-End</t>
  </si>
  <si>
    <t>Foreign currency valuation &amp; translation (FAGL_FCV)</t>
  </si>
  <si>
    <t>FI-L3-04</t>
  </si>
  <si>
    <t>Landscape</t>
  </si>
  <si>
    <t>House bank — transport strategy; what is created directly in PRD and why</t>
  </si>
  <si>
    <t>FI-L3-05</t>
  </si>
  <si>
    <t>S/4HANA</t>
  </si>
  <si>
    <t>Universal Journal (ACDOCA), New Asset Accounting — architecture &amp; business impact</t>
  </si>
  <si>
    <t>FI-L3-06</t>
  </si>
  <si>
    <t>Public Sector</t>
  </si>
  <si>
    <t>Funds Management — budget structure, availability control</t>
  </si>
  <si>
    <t>FI-L3-07</t>
  </si>
  <si>
    <t>Central Finance (cFIN) — use cases, AIF error handling, initial load</t>
  </si>
  <si>
    <t>FI-L3-08</t>
  </si>
  <si>
    <t>Universal Parallel Accounting &amp; Group Reporting awareness</t>
  </si>
  <si>
    <t>FI-L3-09</t>
  </si>
  <si>
    <t>Advisory</t>
  </si>
  <si>
    <t>Greenfield vs brownfield FI design decisions — COA harmonisation, ledger strategy</t>
  </si>
  <si>
    <t>FI-L3-10</t>
  </si>
  <si>
    <t>Treasury</t>
  </si>
  <si>
    <t>Bank Communication Management / in-house cash — concept &amp; fit</t>
  </si>
  <si>
    <t>CO-L1-01</t>
  </si>
  <si>
    <t>CO</t>
  </si>
  <si>
    <t>Controlling</t>
  </si>
  <si>
    <t>Cost element accounting — primary vs secondary; S/4 cost elements as GL accounts</t>
  </si>
  <si>
    <t>CO-L1-02</t>
  </si>
  <si>
    <t>Cost Centres</t>
  </si>
  <si>
    <t>Cost centre accounting — standard hierarchy, planning basics</t>
  </si>
  <si>
    <t>CO-L1-03</t>
  </si>
  <si>
    <t>Internal Orders</t>
  </si>
  <si>
    <t>Internal orders — real vs statistical, settlement rules</t>
  </si>
  <si>
    <t>CO-L1-04</t>
  </si>
  <si>
    <t>Profit centre accounting — basics &amp; document flow</t>
  </si>
  <si>
    <t>CO-L1-05</t>
  </si>
  <si>
    <t>Activity types &amp; statistical key figures — definition and use</t>
  </si>
  <si>
    <t>CO-L2-01</t>
  </si>
  <si>
    <t>Allocations</t>
  </si>
  <si>
    <t>Assessment, distribution &amp; activity allocation cycles</t>
  </si>
  <si>
    <t>CO-L2-02</t>
  </si>
  <si>
    <t>Product Costing</t>
  </si>
  <si>
    <t>Product costing — cost component structure, costing variant, costing sheet</t>
  </si>
  <si>
    <t>CO-L2-03</t>
  </si>
  <si>
    <t>Production order costing — plan vs actual, variance categories</t>
  </si>
  <si>
    <t>CO-L2-04</t>
  </si>
  <si>
    <t>Variance calculation &amp; settlement — order to CO-PA/FI</t>
  </si>
  <si>
    <t>CO-L2-05</t>
  </si>
  <si>
    <t>Planning</t>
  </si>
  <si>
    <t>Activity price planning / overhead calculation</t>
  </si>
  <si>
    <t>CO-L2-06</t>
  </si>
  <si>
    <t>Cost centre planning &amp; integrated planning</t>
  </si>
  <si>
    <t>CO-L2-07</t>
  </si>
  <si>
    <t>CO-PA</t>
  </si>
  <si>
    <t>CO-PA — costing-based vs account-based; characteristics &amp; value fields</t>
  </si>
  <si>
    <t>CO-L2-08</t>
  </si>
  <si>
    <t>Month-end closing sequence in CO — template allocation, overhead, WIP, variance, settlement</t>
  </si>
  <si>
    <t>CO-L3-01</t>
  </si>
  <si>
    <t>Material Ledger</t>
  </si>
  <si>
    <t>Material Ledger / Actual Costing — activation, closing cockpit (CKMLCP)</t>
  </si>
  <si>
    <t>CO-L3-02</t>
  </si>
  <si>
    <t>Results analysis / WIP — methods and configuration</t>
  </si>
  <si>
    <t>CO-L3-03</t>
  </si>
  <si>
    <t>CO-FI reconciliation &amp; Universal Journal impact on CO design</t>
  </si>
  <si>
    <t>CO-L3-04</t>
  </si>
  <si>
    <t>S/4HANA Margin Analysis vs costing-based CO-PA — migration approach</t>
  </si>
  <si>
    <t>CO-L3-05</t>
  </si>
  <si>
    <t>Costing model design for a multi-plant manufacturer — transfer pricing, group valuation</t>
  </si>
  <si>
    <t>CO-L3-06</t>
  </si>
  <si>
    <t>Event-based revenue recognition &amp; project profitability (S/4) awareness</t>
  </si>
  <si>
    <t>CO-L3-07</t>
  </si>
  <si>
    <t>Standard vs moving average price strategy — recommendation framework</t>
  </si>
  <si>
    <t>MM-L1-01</t>
  </si>
  <si>
    <t>MM</t>
  </si>
  <si>
    <t>Materials Management</t>
  </si>
  <si>
    <t>P2P Cycle</t>
  </si>
  <si>
    <t>Procure-to-Pay cycle — PR &gt; RFQ &gt; PO &gt; GR &gt; IR end to end</t>
  </si>
  <si>
    <t>MM-L1-02</t>
  </si>
  <si>
    <t>Material types &amp; material master field selection</t>
  </si>
  <si>
    <t>MM-L1-03</t>
  </si>
  <si>
    <t>Vendor master / Business Partner (BP) — roles &amp; account groups</t>
  </si>
  <si>
    <t>MM-L1-04</t>
  </si>
  <si>
    <t>Inventory</t>
  </si>
  <si>
    <t>Inventory management — movement types (101, 103/105, 122, 261, 311, 561)</t>
  </si>
  <si>
    <t>MM-L1-05</t>
  </si>
  <si>
    <t>Physical inventory — process &amp; documents</t>
  </si>
  <si>
    <t>MM-L1-06</t>
  </si>
  <si>
    <t>Sourcing</t>
  </si>
  <si>
    <t>Source determination — source list, info records basics</t>
  </si>
  <si>
    <t>MM-L2-01</t>
  </si>
  <si>
    <t>MM-FI integration — OBYC, valuation classes, automatic account determination</t>
  </si>
  <si>
    <t>MM-L2-02</t>
  </si>
  <si>
    <t>Pricing</t>
  </si>
  <si>
    <t>Pricing — calculation schema, condition technique, access sequence</t>
  </si>
  <si>
    <t>MM-L2-03</t>
  </si>
  <si>
    <t>Workflow</t>
  </si>
  <si>
    <t>Release strategy (PR/PO) — class, characteristics, common issues</t>
  </si>
  <si>
    <t>MM-L2-04</t>
  </si>
  <si>
    <t>Valuation</t>
  </si>
  <si>
    <t>Split valuation — config &amp; use cases</t>
  </si>
  <si>
    <t>MM-L2-05</t>
  </si>
  <si>
    <t>Special Proc.</t>
  </si>
  <si>
    <t>Special procurement — subcontracting, consignment, STO, third-party</t>
  </si>
  <si>
    <t>MM-L2-06</t>
  </si>
  <si>
    <t>Batch</t>
  </si>
  <si>
    <t>Batch management — levels, determination in MM</t>
  </si>
  <si>
    <t>MM-L2-07</t>
  </si>
  <si>
    <t>MRP — run types, lot sizing, MRP areas, planning file</t>
  </si>
  <si>
    <t>MM-L2-08</t>
  </si>
  <si>
    <t>Quota arrangement &amp; source prioritisation</t>
  </si>
  <si>
    <t>MM-L2-09</t>
  </si>
  <si>
    <t>Output</t>
  </si>
  <si>
    <t>Output / message determination (NACE) &amp; S/4 output management (BRF+)</t>
  </si>
  <si>
    <t>MM-L2-10</t>
  </si>
  <si>
    <t>Invoice</t>
  </si>
  <si>
    <t>Logistics Invoice Verification — GR/IR clearing, blocked invoices, tolerance keys</t>
  </si>
  <si>
    <t>MM-L2-11</t>
  </si>
  <si>
    <t>Services</t>
  </si>
  <si>
    <t>Service procurement &amp; service entry sheet (incl. lean services in S/4)</t>
  </si>
  <si>
    <t>MM-L2-12</t>
  </si>
  <si>
    <t>GST / taxes in procurement — ODN, RCM, import procurement</t>
  </si>
  <si>
    <t>MM-L2-13</t>
  </si>
  <si>
    <t>ABAP / LSMW / LTMC awareness for master &amp; open-item migration</t>
  </si>
  <si>
    <t>MM-L3-01</t>
  </si>
  <si>
    <t>S/4 sourcing &amp; procurement innovations — Fiori apps, flexible workflow, MRP Live</t>
  </si>
  <si>
    <t>MM-L3-02</t>
  </si>
  <si>
    <t>Ariba</t>
  </si>
  <si>
    <t>SAP Ariba / Business Network integration — guided buying, commerce automation touchpoints</t>
  </si>
  <si>
    <t>MM-L3-03</t>
  </si>
  <si>
    <t>Inventory valuation strategy — MAP vs standard, revaluation scenarios</t>
  </si>
  <si>
    <t>MM-L3-04</t>
  </si>
  <si>
    <t>Designing an org structure — plants, storage locations, purchasing orgs for a group company</t>
  </si>
  <si>
    <t>SD-L1-01</t>
  </si>
  <si>
    <t>SD</t>
  </si>
  <si>
    <t>Sales &amp; Distribution</t>
  </si>
  <si>
    <t>O2C Cycle</t>
  </si>
  <si>
    <t>Order-to-Cash cycle end to end</t>
  </si>
  <si>
    <t>SD-L1-02</t>
  </si>
  <si>
    <t>Doc Types</t>
  </si>
  <si>
    <t>Sales document types, item categories, schedule line categories</t>
  </si>
  <si>
    <t>SD-L1-03</t>
  </si>
  <si>
    <t>Returns</t>
  </si>
  <si>
    <t>Returns, credit &amp; debit memo processing</t>
  </si>
  <si>
    <t>SD-L1-04</t>
  </si>
  <si>
    <t>Partners</t>
  </si>
  <si>
    <t>Partner &amp; text determination</t>
  </si>
  <si>
    <t>SD-L1-05</t>
  </si>
  <si>
    <t>Customer master / BP roles &amp; sales area data</t>
  </si>
  <si>
    <t>SD-L2-01</t>
  </si>
  <si>
    <t>Pricing — condition technique, pricing procedure, access sequence, condition records</t>
  </si>
  <si>
    <t>SD-L2-02</t>
  </si>
  <si>
    <t>SD-FI integration — VKOA, revenue account determination</t>
  </si>
  <si>
    <t>SD-L2-03</t>
  </si>
  <si>
    <t>SD-MM integration — availability check (ATP), delivery, PGI</t>
  </si>
  <si>
    <t>SD-L2-04</t>
  </si>
  <si>
    <t>Copy Control</t>
  </si>
  <si>
    <t>Copy control (sales &gt; delivery &gt; billing) — routines &amp; requirements</t>
  </si>
  <si>
    <t>SD-L2-05</t>
  </si>
  <si>
    <t>Credit</t>
  </si>
  <si>
    <t>Credit management — FSCM vs classic</t>
  </si>
  <si>
    <t>SD-L2-06</t>
  </si>
  <si>
    <t>Output determination — NACE &amp; S/4 BRF+ output</t>
  </si>
  <si>
    <t>SD-L2-07</t>
  </si>
  <si>
    <t>Promotions</t>
  </si>
  <si>
    <t>Free goods / bonus schemes</t>
  </si>
  <si>
    <t>SD-L2-08</t>
  </si>
  <si>
    <t>Billing</t>
  </si>
  <si>
    <t>Billing — types, billing plan, invoice list, intercompany billing</t>
  </si>
  <si>
    <t>SD-L2-09</t>
  </si>
  <si>
    <t>Taxes / GST in sales — e-invoice IRN, e-way bill, export scenarios</t>
  </si>
  <si>
    <t>SD-L2-10</t>
  </si>
  <si>
    <t>Batch determination in SD</t>
  </si>
  <si>
    <t>SD-L2-11</t>
  </si>
  <si>
    <t>Intercompany</t>
  </si>
  <si>
    <t>Inter-company / STO sales flows</t>
  </si>
  <si>
    <t>SD-L3-01</t>
  </si>
  <si>
    <t>Settlement</t>
  </si>
  <si>
    <t>Rebates / condition contract settlement management (S/4)</t>
  </si>
  <si>
    <t>SD-L3-02</t>
  </si>
  <si>
    <t>Advanced ATP (aATP) — BOP, allocation, alternative-based confirmation</t>
  </si>
  <si>
    <t>SD-L3-03</t>
  </si>
  <si>
    <t>Revenue recognition touchpoints (RAR awareness) &amp; billing plan design</t>
  </si>
  <si>
    <t>SD-L3-04</t>
  </si>
  <si>
    <t>Designing pricing procedure for dealer/distributor schemes — India market</t>
  </si>
  <si>
    <t>SD-L3-05</t>
  </si>
  <si>
    <t>Digital</t>
  </si>
  <si>
    <t>SD in e-commerce integration — web orders, EDI/IDoc flows, API-based order capture</t>
  </si>
  <si>
    <t>PP-L1-01</t>
  </si>
  <si>
    <t>PP</t>
  </si>
  <si>
    <t>Production Planning</t>
  </si>
  <si>
    <t>Master data — BOM, routing, work centre, production version</t>
  </si>
  <si>
    <t>PP-L1-02</t>
  </si>
  <si>
    <t>Mfg Types</t>
  </si>
  <si>
    <t>Manufacturing types — discrete vs repetitive vs process (PP-PI)</t>
  </si>
  <si>
    <t>PP-L1-03</t>
  </si>
  <si>
    <t>Order Cycle</t>
  </si>
  <si>
    <t>Production order lifecycle — create, release, confirm, TECO, settle</t>
  </si>
  <si>
    <t>PP-L1-04</t>
  </si>
  <si>
    <t>Movements</t>
  </si>
  <si>
    <t>Goods movements (261 issue, 101 receipt) &amp; basic PP-MM-FI integration</t>
  </si>
  <si>
    <t>PP-L1-05</t>
  </si>
  <si>
    <t>Confirmation</t>
  </si>
  <si>
    <t>Backflushing — setup &amp; pitfalls</t>
  </si>
  <si>
    <t>PP-L2-01</t>
  </si>
  <si>
    <t>Planning strategies — MTS / MTO, strategy groups (10, 20, 40, 50...)</t>
  </si>
  <si>
    <t>PP-L2-02</t>
  </si>
  <si>
    <t>Demand management / PIR — consumption modes</t>
  </si>
  <si>
    <t>PP-L2-03</t>
  </si>
  <si>
    <t>MRP</t>
  </si>
  <si>
    <t>MRP run — outputs, planned orders, exception messages</t>
  </si>
  <si>
    <t>PP-L2-04</t>
  </si>
  <si>
    <t>Capacity</t>
  </si>
  <si>
    <t>Capacity planning &amp; levelling (CM01/CM21)</t>
  </si>
  <si>
    <t>PP-L2-05</t>
  </si>
  <si>
    <t>Costing</t>
  </si>
  <si>
    <t>Production order costing &amp; variance analysis</t>
  </si>
  <si>
    <t>PP-L2-06</t>
  </si>
  <si>
    <t>PP-PI</t>
  </si>
  <si>
    <t>Process orders / PI sheets / master recipes (PP-PI)</t>
  </si>
  <si>
    <t>PP-L2-07</t>
  </si>
  <si>
    <t>REM</t>
  </si>
  <si>
    <t>Kanban / repetitive manufacturing</t>
  </si>
  <si>
    <t>PP-L2-08</t>
  </si>
  <si>
    <t>Quality</t>
  </si>
  <si>
    <t>PP-QM integration — in-process inspection</t>
  </si>
  <si>
    <t>PP-L2-09</t>
  </si>
  <si>
    <t>Change Mgmt</t>
  </si>
  <si>
    <t>Engineering change management (ECM/ECN)</t>
  </si>
  <si>
    <t>PP-L3-01</t>
  </si>
  <si>
    <t>MRP Live, pMRP &amp; predictive material and resource planning</t>
  </si>
  <si>
    <t>PP-L3-02</t>
  </si>
  <si>
    <t>Advanced ATP &amp; production allocation in S/4</t>
  </si>
  <si>
    <t>PP-L3-03</t>
  </si>
  <si>
    <t>PP org &amp; master data design for multi-plant, subcontract-heavy manufacturer</t>
  </si>
  <si>
    <t>PP-L3-04</t>
  </si>
  <si>
    <t>Shop Floor</t>
  </si>
  <si>
    <t>MES / shop-floor integration — SAP DM (Digital Manufacturing), OPC-UA awareness</t>
  </si>
  <si>
    <t>PP-L3-05</t>
  </si>
  <si>
    <t>ePPDS</t>
  </si>
  <si>
    <t>Embedded PP/DS — heuristics, planning board, when to recommend</t>
  </si>
  <si>
    <t>QM-L1-01</t>
  </si>
  <si>
    <t>QM</t>
  </si>
  <si>
    <t>Quality Management</t>
  </si>
  <si>
    <t>Procurement QM</t>
  </si>
  <si>
    <t>QM in procurement — inspection at goods receipt</t>
  </si>
  <si>
    <t>QM-L1-02</t>
  </si>
  <si>
    <t>Production QM</t>
  </si>
  <si>
    <t>QM in production — in-process inspection</t>
  </si>
  <si>
    <t>QM-L1-03</t>
  </si>
  <si>
    <t>Sales QM</t>
  </si>
  <si>
    <t>QM in sales — inspection before delivery</t>
  </si>
  <si>
    <t>QM-L1-04</t>
  </si>
  <si>
    <t>Inspection</t>
  </si>
  <si>
    <t>Inspection lot processing — inspection lot origins</t>
  </si>
  <si>
    <t>QM-L1-05</t>
  </si>
  <si>
    <t>Results</t>
  </si>
  <si>
    <t>Results recording &amp; usage decision (UD)</t>
  </si>
  <si>
    <t>QM-L1-06</t>
  </si>
  <si>
    <t>Catalogs</t>
  </si>
  <si>
    <t>Catalogs, code groups &amp; selected sets</t>
  </si>
  <si>
    <t>QM-L2-01</t>
  </si>
  <si>
    <t>Inspection plan, master inspection characteristics (MIC), sampling procedure</t>
  </si>
  <si>
    <t>QM-L2-02</t>
  </si>
  <si>
    <t>Notifications</t>
  </si>
  <si>
    <t>Quality notifications — defects, customer/vendor complaints (8D awareness)</t>
  </si>
  <si>
    <t>QM-L2-03</t>
  </si>
  <si>
    <t>Certificates</t>
  </si>
  <si>
    <t>Quality certificates / Certificate of Analysis</t>
  </si>
  <si>
    <t>QM-L2-04</t>
  </si>
  <si>
    <t>Batch management integration with QM</t>
  </si>
  <si>
    <t>QM-L2-05</t>
  </si>
  <si>
    <t>Info Records</t>
  </si>
  <si>
    <t>Quality info records (procurement / SD)</t>
  </si>
  <si>
    <t>QM-L2-06</t>
  </si>
  <si>
    <t>Vendor Eval</t>
  </si>
  <si>
    <t>Vendor evaluation — QM score contribution</t>
  </si>
  <si>
    <t>QM-L2-07</t>
  </si>
  <si>
    <t>Sampling</t>
  </si>
  <si>
    <t>Dynamic modification rule — skip logic, quality levels</t>
  </si>
  <si>
    <t>QM-L3-01</t>
  </si>
  <si>
    <t>Calibration</t>
  </si>
  <si>
    <t>Calibration / test equipment management (QM-PM)</t>
  </si>
  <si>
    <t>QM-L3-02</t>
  </si>
  <si>
    <t>Pharma</t>
  </si>
  <si>
    <t>Stability study — pharma relevance &amp; setup</t>
  </si>
  <si>
    <t>QM-L3-03</t>
  </si>
  <si>
    <t>Compliance</t>
  </si>
  <si>
    <t>GxP / audit-trail / e-signature considerations in regulated industries</t>
  </si>
  <si>
    <t>QM-L3-04</t>
  </si>
  <si>
    <t>QM blueprint for pharma vs discrete manufacturing — key design differences</t>
  </si>
  <si>
    <t>QM-L3-05</t>
  </si>
  <si>
    <t>Quality analytics — defect trend reporting, integration with BTP/BDC dashboards</t>
  </si>
  <si>
    <t>PM-L1-01</t>
  </si>
  <si>
    <t>PM</t>
  </si>
  <si>
    <t>Plant Maintenance / EAM</t>
  </si>
  <si>
    <t>Technical Objects</t>
  </si>
  <si>
    <t>Technical objects — functional location, equipment, equipment BOM</t>
  </si>
  <si>
    <t>PM-L1-02</t>
  </si>
  <si>
    <t>Processing</t>
  </si>
  <si>
    <t>Maintenance processing — notification &gt; order &gt; confirmation &gt; settlement</t>
  </si>
  <si>
    <t>PM-L1-03</t>
  </si>
  <si>
    <t>Corrective</t>
  </si>
  <si>
    <t>Corrective / breakdown maintenance</t>
  </si>
  <si>
    <t>PM-L1-04</t>
  </si>
  <si>
    <t>Catalogs / damage &amp; cause codes</t>
  </si>
  <si>
    <t>PM-L2-01</t>
  </si>
  <si>
    <t>Preventive</t>
  </si>
  <si>
    <t>Preventive maintenance — maintenance plan, task list, scheduling</t>
  </si>
  <si>
    <t>PM-L2-02</t>
  </si>
  <si>
    <t>Strategies</t>
  </si>
  <si>
    <t>Maintenance strategies — time-based &amp; performance-based</t>
  </si>
  <si>
    <t>PM-L2-03</t>
  </si>
  <si>
    <t>Measuring</t>
  </si>
  <si>
    <t>Measuring points &amp; counters</t>
  </si>
  <si>
    <t>PM-L2-04</t>
  </si>
  <si>
    <t>Refurbishment</t>
  </si>
  <si>
    <t>Refurbishment &amp; external services</t>
  </si>
  <si>
    <t>PM-L2-05</t>
  </si>
  <si>
    <t>PM-MM integration — spares, reservations, PR from order</t>
  </si>
  <si>
    <t>PM-L2-06</t>
  </si>
  <si>
    <t>PM-CO integration — order settlement to cost centre / asset</t>
  </si>
  <si>
    <t>PM-L2-07</t>
  </si>
  <si>
    <t>Calibration (PM-QM)</t>
  </si>
  <si>
    <t>PM-L2-08</t>
  </si>
  <si>
    <t>Capacity planning for maintenance</t>
  </si>
  <si>
    <t>PM-L3-01</t>
  </si>
  <si>
    <t>S/4HANA Asset Management — phase model, Fiori maintenance apps, mobile maintenance</t>
  </si>
  <si>
    <t>PM-L3-02</t>
  </si>
  <si>
    <t>Reliability-centred maintenance &amp; criticality analysis — advisory approach</t>
  </si>
  <si>
    <t>PM-L3-03</t>
  </si>
  <si>
    <t>IoT / predictive maintenance — sensor data to notification (BTP/AI use cases)</t>
  </si>
  <si>
    <t>PM-L3-04</t>
  </si>
  <si>
    <t>EAM KPI design — MTBF, MTTR, maintenance cost per asset; dashboarding</t>
  </si>
  <si>
    <t>PM-L3-05</t>
  </si>
  <si>
    <t>Shutdown</t>
  </si>
  <si>
    <t>Shutdown / turnaround management — WBS integration with PS</t>
  </si>
  <si>
    <t>WM-L1-01</t>
  </si>
  <si>
    <t>WM</t>
  </si>
  <si>
    <t>Warehouse Management (WM/EWM)</t>
  </si>
  <si>
    <t>Concepts</t>
  </si>
  <si>
    <t>WM vs EWM — embedded vs decentralised; when to use each</t>
  </si>
  <si>
    <t>WM-L1-02</t>
  </si>
  <si>
    <t>Structure</t>
  </si>
  <si>
    <t>Warehouse structure — storage types, sections, bins</t>
  </si>
  <si>
    <t>WM-L1-03</t>
  </si>
  <si>
    <t>Execution</t>
  </si>
  <si>
    <t>Transfer orders (WM) / warehouse tasks &amp; orders (EWM)</t>
  </si>
  <si>
    <t>WM-L1-04</t>
  </si>
  <si>
    <t>Physical inventory in WM / EWM</t>
  </si>
  <si>
    <t>WM-L2-01</t>
  </si>
  <si>
    <t>Putaway &amp; stock removal strategies</t>
  </si>
  <si>
    <t>WM-L2-02</t>
  </si>
  <si>
    <t>Replenishment</t>
  </si>
  <si>
    <t>Replenishment — fixed bin, planned, order-based</t>
  </si>
  <si>
    <t>WM-L2-03</t>
  </si>
  <si>
    <t>HU</t>
  </si>
  <si>
    <t>Handling unit management &amp; packing</t>
  </si>
  <si>
    <t>WM-L2-04</t>
  </si>
  <si>
    <t>RF</t>
  </si>
  <si>
    <t>RF framework / radio frequency transactions</t>
  </si>
  <si>
    <t>WM-L2-05</t>
  </si>
  <si>
    <t>WM-MM-PP integration — production supply / staging</t>
  </si>
  <si>
    <t>WM-L2-06</t>
  </si>
  <si>
    <t>EWM</t>
  </si>
  <si>
    <t>Wave management (EWM)</t>
  </si>
  <si>
    <t>WM-L3-01</t>
  </si>
  <si>
    <t>Slotting &amp; rearrangement (EWM)</t>
  </si>
  <si>
    <t>WM-L3-02</t>
  </si>
  <si>
    <t>Labour management (EWM)</t>
  </si>
  <si>
    <t>WM-L3-03</t>
  </si>
  <si>
    <t>Yard</t>
  </si>
  <si>
    <t>Yard management / dock appointment scheduling</t>
  </si>
  <si>
    <t>WM-L3-04</t>
  </si>
  <si>
    <t>Migration — ERP-WM to embedded EWM (WM sunset 2025+) — approach &amp; effort drivers</t>
  </si>
  <si>
    <t>WM-L3-05</t>
  </si>
  <si>
    <t>EWM deployment decision — basic vs advanced, licensing implications</t>
  </si>
  <si>
    <t>WM-L3-06</t>
  </si>
  <si>
    <t>Automation integration — MFS, conveyor/ASRS, warehouse robotics awareness</t>
  </si>
  <si>
    <t>WM-L3-07</t>
  </si>
  <si>
    <t>Designing storage type &amp; bin strategy for a pharma / FMCG DC</t>
  </si>
  <si>
    <t>HCM-L1-01</t>
  </si>
  <si>
    <t>HCM</t>
  </si>
  <si>
    <t>HCM / SuccessFactors</t>
  </si>
  <si>
    <t>OM</t>
  </si>
  <si>
    <t>Organisational management — org units, positions, jobs</t>
  </si>
  <si>
    <t>HCM-L1-02</t>
  </si>
  <si>
    <t>PA</t>
  </si>
  <si>
    <t>Personnel administration — infotypes, personnel actions</t>
  </si>
  <si>
    <t>HCM-L1-03</t>
  </si>
  <si>
    <t>Time</t>
  </si>
  <si>
    <t>Time management — positive vs negative</t>
  </si>
  <si>
    <t>HCM-L2-01</t>
  </si>
  <si>
    <t>Payroll</t>
  </si>
  <si>
    <t>Payroll — schema, PCRs, wage types</t>
  </si>
  <si>
    <t>HCM-L2-02</t>
  </si>
  <si>
    <t>India Payroll</t>
  </si>
  <si>
    <t>India payroll — PF, ESI, PT, income tax / statutory compliance</t>
  </si>
  <si>
    <t>HCM-L2-03</t>
  </si>
  <si>
    <t>SF EC</t>
  </si>
  <si>
    <t>SuccessFactors Employee Central — foundation objects, MDF, workflows</t>
  </si>
  <si>
    <t>HCM-L2-04</t>
  </si>
  <si>
    <t>SF Talent</t>
  </si>
  <si>
    <t>SF Recruiting / Onboarding</t>
  </si>
  <si>
    <t>HCM-L2-05</t>
  </si>
  <si>
    <t>Performance &amp; Goals, Compensation</t>
  </si>
  <si>
    <t>HCM-L2-06</t>
  </si>
  <si>
    <t>SF LMS</t>
  </si>
  <si>
    <t>Learning (LMS)</t>
  </si>
  <si>
    <t>HCM-L3-01</t>
  </si>
  <si>
    <t>Replication</t>
  </si>
  <si>
    <t>EC &lt;&gt; S/4HANA / ERP replication — BIB, employee mini-master</t>
  </si>
  <si>
    <t>HCM-L3-02</t>
  </si>
  <si>
    <t>Integration — Integration Center / CPI / Boomi; standard iFlows</t>
  </si>
  <si>
    <t>HCM-L3-03</t>
  </si>
  <si>
    <t>Hybrid HR landscape design — core HR on EC, payroll on-prem vs ECP</t>
  </si>
  <si>
    <t>HCM-L3-04</t>
  </si>
  <si>
    <t>ECP</t>
  </si>
  <si>
    <t>Employee Central Payroll — PTP, payroll control centre awareness</t>
  </si>
  <si>
    <t>HCM-L3-05</t>
  </si>
  <si>
    <t>AI</t>
  </si>
  <si>
    <t>Joule &amp; AI in HR — use cases, data privacy considerations</t>
  </si>
  <si>
    <t>BASIS-L1-01</t>
  </si>
  <si>
    <t>BASIS</t>
  </si>
  <si>
    <t>Basis / Technical &amp; ABAP</t>
  </si>
  <si>
    <t>System landscape — DEV / QAS / PRD, transport management (STMS)</t>
  </si>
  <si>
    <t>BASIS-L1-02</t>
  </si>
  <si>
    <t>Admin</t>
  </si>
  <si>
    <t>Client administration &amp; client copy</t>
  </si>
  <si>
    <t>BASIS-L1-03</t>
  </si>
  <si>
    <t>Transports</t>
  </si>
  <si>
    <t>Transport requests — workbench vs customising</t>
  </si>
  <si>
    <t>BASIS-L1-04</t>
  </si>
  <si>
    <t>Operations</t>
  </si>
  <si>
    <t>Background jobs, spool &amp; system monitoring</t>
  </si>
  <si>
    <t>BASIS-L2-01</t>
  </si>
  <si>
    <t>Security</t>
  </si>
  <si>
    <t>User administration, roles &amp; authorisations (PFCG), SoD basics</t>
  </si>
  <si>
    <t>BASIS-L2-02</t>
  </si>
  <si>
    <t>HANA</t>
  </si>
  <si>
    <t>HANA database fundamentals — column store, sizing, backups</t>
  </si>
  <si>
    <t>BASIS-L2-03</t>
  </si>
  <si>
    <t>ABAP</t>
  </si>
  <si>
    <t>ABAP — reports, BDC, BAPIs, BADIs, enhancements, user exits</t>
  </si>
  <si>
    <t>BASIS-L2-04</t>
  </si>
  <si>
    <t>RICEF</t>
  </si>
  <si>
    <t>RICEF objects — reports, interfaces, conversions, enhancements, forms</t>
  </si>
  <si>
    <t>BASIS-L2-05</t>
  </si>
  <si>
    <t>Forms/UI</t>
  </si>
  <si>
    <t>Smartforms / Adobe Forms / Fiori basics</t>
  </si>
  <si>
    <t>BASIS-L2-06</t>
  </si>
  <si>
    <t>Performance</t>
  </si>
  <si>
    <t>Performance tuning awareness — ST05, SAT, index strategy</t>
  </si>
  <si>
    <t>BASIS-L3-01</t>
  </si>
  <si>
    <t>S/4 Tech</t>
  </si>
  <si>
    <t>OData / CDS views / RAP — S/4 &amp; Fiori development model</t>
  </si>
  <si>
    <t>BASIS-L3-02</t>
  </si>
  <si>
    <t>Clean Core</t>
  </si>
  <si>
    <t>Clean core &amp; BTP extensibility — side-by-side vs in-app, key-user extensibility</t>
  </si>
  <si>
    <t>BASIS-L3-03</t>
  </si>
  <si>
    <t>CPI / Integration Suite — iFlows, API management, event mesh awareness</t>
  </si>
  <si>
    <t>BASIS-L3-04</t>
  </si>
  <si>
    <t>Cloud Ops</t>
  </si>
  <si>
    <t>RISE with SAP operating model — roles split, CAS/ECS, hyperscaler basics</t>
  </si>
  <si>
    <t>BASIS-L3-05</t>
  </si>
  <si>
    <t>ABAP AI / Joule for developers &amp; code migration (custom code remediation) awareness</t>
  </si>
  <si>
    <t>Total</t>
  </si>
  <si>
    <t>TOTAL</t>
  </si>
  <si>
    <t>Rating_Value</t>
  </si>
  <si>
    <t>Score (1-5)</t>
  </si>
  <si>
    <t>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</si>
</sst>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59595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ED7D31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ED7D31"/>
      <name val="Arial"/>
      <charset val="1"/>
    </font>
    <font>
      <b/>
      <sz val="10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/>
    </xf>
    <xf numFmtId="0" fontId="7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1" fillId="0" borderId="0" xfId="0" applyFont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34" customWidth="1"/>
    <col min="3" max="3" width="95" customWidth="1"/>
  </cols>
  <sheetData>
    <row r="2" spans="2:3" ht="19.7">
      <c r="B2" s="1" t="s">
        <v>0</v>
      </c>
    </row>
    <row r="3" spans="2:3">
      <c r="B3" s="2" t="s">
        <v>1</v>
      </c>
    </row>
    <row r="5" spans="2:3">
      <c r="B5" s="3"/>
      <c r="C5" s="4"/>
    </row>
    <row r="6" spans="2:3">
      <c r="B6" s="5" t="s">
        <v>2</v>
      </c>
    </row>
    <row r="7" spans="2:3" ht="26.85">
      <c r="B7" s="3" t="s">
        <v>3</v>
      </c>
      <c r="C7" s="4" t="s">
        <v>4</v>
      </c>
    </row>
    <row r="8" spans="2:3">
      <c r="B8" s="3" t="s">
        <v>5</v>
      </c>
      <c r="C8" s="4" t="s">
        <v>6</v>
      </c>
    </row>
    <row r="9" spans="2:3">
      <c r="B9" s="3" t="s">
        <v>7</v>
      </c>
      <c r="C9" s="4" t="s">
        <v>8</v>
      </c>
    </row>
    <row r="10" spans="2:3">
      <c r="B10" s="3" t="s">
        <v>9</v>
      </c>
      <c r="C10" s="4" t="s">
        <v>10</v>
      </c>
    </row>
    <row r="11" spans="2:3">
      <c r="B11" s="3" t="s">
        <v>11</v>
      </c>
      <c r="C11" s="4" t="s">
        <v>12</v>
      </c>
    </row>
    <row r="12" spans="2:3">
      <c r="B12" s="3"/>
      <c r="C12" s="4"/>
    </row>
    <row r="13" spans="2:3">
      <c r="B13" s="5" t="s">
        <v>13</v>
      </c>
    </row>
    <row r="14" spans="2:3">
      <c r="B14" s="3" t="s">
        <v>14</v>
      </c>
      <c r="C14" s="4" t="s">
        <v>15</v>
      </c>
    </row>
    <row r="15" spans="2:3">
      <c r="B15" s="3" t="s">
        <v>16</v>
      </c>
      <c r="C15" s="4" t="s">
        <v>17</v>
      </c>
    </row>
    <row r="16" spans="2:3">
      <c r="B16" s="3" t="s">
        <v>18</v>
      </c>
      <c r="C16" s="4" t="s">
        <v>19</v>
      </c>
    </row>
    <row r="17" spans="2:3">
      <c r="B17" s="3"/>
      <c r="C17" s="4"/>
    </row>
    <row r="18" spans="2:3">
      <c r="B18" s="5" t="s">
        <v>20</v>
      </c>
    </row>
    <row r="19" spans="2:3">
      <c r="B19" s="3" t="s">
        <v>21</v>
      </c>
      <c r="C19" s="4" t="s">
        <v>22</v>
      </c>
    </row>
    <row r="20" spans="2:3">
      <c r="B20" s="3" t="s">
        <v>23</v>
      </c>
      <c r="C20" s="4" t="s">
        <v>24</v>
      </c>
    </row>
    <row r="21" spans="2:3">
      <c r="B21" s="3" t="s">
        <v>25</v>
      </c>
      <c r="C21" s="4" t="s">
        <v>26</v>
      </c>
    </row>
    <row r="22" spans="2:3">
      <c r="B22" s="3" t="s">
        <v>27</v>
      </c>
      <c r="C22" s="4" t="s">
        <v>28</v>
      </c>
    </row>
    <row r="23" spans="2:3">
      <c r="B23" s="3" t="s">
        <v>29</v>
      </c>
      <c r="C23" s="4" t="s">
        <v>30</v>
      </c>
    </row>
    <row r="24" spans="2:3">
      <c r="B24" s="3" t="s">
        <v>31</v>
      </c>
      <c r="C24" s="4" t="s">
        <v>32</v>
      </c>
    </row>
    <row r="25" spans="2:3">
      <c r="B25" s="3"/>
      <c r="C25" s="4"/>
    </row>
    <row r="26" spans="2:3" ht="26.85">
      <c r="B26" s="3" t="s">
        <v>33</v>
      </c>
      <c r="C26" s="4" t="s">
        <v>34</v>
      </c>
    </row>
    <row r="28" spans="2:3">
      <c r="B28" s="6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12" customWidth="1"/>
    <col min="3" max="3" width="30" customWidth="1"/>
    <col min="4" max="4" width="16" customWidth="1"/>
    <col min="5" max="5" width="34" customWidth="1"/>
    <col min="6" max="6" width="18" customWidth="1"/>
    <col min="7" max="7" width="78" customWidth="1"/>
    <col min="8" max="8" width="10" customWidth="1"/>
    <col min="9" max="9" width="26" customWidth="1"/>
  </cols>
  <sheetData>
    <row r="1" spans="1:9" ht="26.85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</row>
    <row r="2" spans="1:9">
      <c r="A2" s="8" t="s">
        <v>45</v>
      </c>
      <c r="B2" s="9" t="s">
        <v>46</v>
      </c>
      <c r="C2" s="9" t="s">
        <v>47</v>
      </c>
      <c r="D2" s="9" t="s">
        <v>48</v>
      </c>
      <c r="E2" s="10" t="s">
        <v>49</v>
      </c>
      <c r="F2" s="9" t="s">
        <v>50</v>
      </c>
      <c r="G2" s="10" t="s">
        <v>51</v>
      </c>
      <c r="H2" s="9" t="s">
        <v>52</v>
      </c>
      <c r="I2" s="9"/>
    </row>
    <row r="3" spans="1:9">
      <c r="A3" s="8" t="s">
        <v>53</v>
      </c>
      <c r="B3" s="9" t="s">
        <v>46</v>
      </c>
      <c r="C3" s="9" t="s">
        <v>47</v>
      </c>
      <c r="D3" s="9" t="s">
        <v>48</v>
      </c>
      <c r="E3" s="10" t="s">
        <v>49</v>
      </c>
      <c r="F3" s="9" t="s">
        <v>54</v>
      </c>
      <c r="G3" s="10" t="s">
        <v>55</v>
      </c>
      <c r="H3" s="9" t="s">
        <v>52</v>
      </c>
      <c r="I3" s="9"/>
    </row>
    <row r="4" spans="1:9">
      <c r="A4" s="8" t="s">
        <v>56</v>
      </c>
      <c r="B4" s="9" t="s">
        <v>46</v>
      </c>
      <c r="C4" s="9" t="s">
        <v>47</v>
      </c>
      <c r="D4" s="9" t="s">
        <v>48</v>
      </c>
      <c r="E4" s="10" t="s">
        <v>49</v>
      </c>
      <c r="F4" s="9" t="s">
        <v>54</v>
      </c>
      <c r="G4" s="10" t="s">
        <v>57</v>
      </c>
      <c r="H4" s="9" t="s">
        <v>52</v>
      </c>
      <c r="I4" s="9"/>
    </row>
    <row r="5" spans="1:9">
      <c r="A5" s="8" t="s">
        <v>58</v>
      </c>
      <c r="B5" s="9" t="s">
        <v>46</v>
      </c>
      <c r="C5" s="9" t="s">
        <v>47</v>
      </c>
      <c r="D5" s="9" t="s">
        <v>48</v>
      </c>
      <c r="E5" s="10" t="s">
        <v>49</v>
      </c>
      <c r="F5" s="9" t="s">
        <v>59</v>
      </c>
      <c r="G5" s="10" t="s">
        <v>60</v>
      </c>
      <c r="H5" s="9" t="s">
        <v>52</v>
      </c>
      <c r="I5" s="9"/>
    </row>
    <row r="6" spans="1:9">
      <c r="A6" s="8" t="s">
        <v>61</v>
      </c>
      <c r="B6" s="9" t="s">
        <v>46</v>
      </c>
      <c r="C6" s="9" t="s">
        <v>47</v>
      </c>
      <c r="D6" s="9" t="s">
        <v>48</v>
      </c>
      <c r="E6" s="10" t="s">
        <v>49</v>
      </c>
      <c r="F6" s="9" t="s">
        <v>62</v>
      </c>
      <c r="G6" s="10" t="s">
        <v>63</v>
      </c>
      <c r="H6" s="9" t="s">
        <v>52</v>
      </c>
      <c r="I6" s="9"/>
    </row>
    <row r="7" spans="1:9">
      <c r="A7" s="8" t="s">
        <v>64</v>
      </c>
      <c r="B7" s="9" t="s">
        <v>46</v>
      </c>
      <c r="C7" s="9" t="s">
        <v>47</v>
      </c>
      <c r="D7" s="9" t="s">
        <v>48</v>
      </c>
      <c r="E7" s="10" t="s">
        <v>49</v>
      </c>
      <c r="F7" s="9" t="s">
        <v>65</v>
      </c>
      <c r="G7" s="10" t="s">
        <v>66</v>
      </c>
      <c r="H7" s="11" t="s">
        <v>67</v>
      </c>
      <c r="I7" s="9"/>
    </row>
    <row r="8" spans="1:9">
      <c r="A8" s="8" t="s">
        <v>68</v>
      </c>
      <c r="B8" s="9" t="s">
        <v>46</v>
      </c>
      <c r="C8" s="9" t="s">
        <v>47</v>
      </c>
      <c r="D8" s="9" t="s">
        <v>48</v>
      </c>
      <c r="E8" s="10" t="s">
        <v>49</v>
      </c>
      <c r="F8" s="9" t="s">
        <v>50</v>
      </c>
      <c r="G8" s="10" t="s">
        <v>69</v>
      </c>
      <c r="H8" s="11" t="s">
        <v>67</v>
      </c>
      <c r="I8" s="9"/>
    </row>
    <row r="9" spans="1:9">
      <c r="A9" s="12" t="s">
        <v>70</v>
      </c>
      <c r="B9" s="13" t="s">
        <v>46</v>
      </c>
      <c r="C9" s="13" t="s">
        <v>47</v>
      </c>
      <c r="D9" s="13" t="s">
        <v>71</v>
      </c>
      <c r="E9" s="14" t="s">
        <v>72</v>
      </c>
      <c r="F9" s="13" t="s">
        <v>73</v>
      </c>
      <c r="G9" s="14" t="s">
        <v>74</v>
      </c>
      <c r="H9" s="13" t="s">
        <v>52</v>
      </c>
      <c r="I9" s="13"/>
    </row>
    <row r="10" spans="1:9">
      <c r="A10" s="12" t="s">
        <v>75</v>
      </c>
      <c r="B10" s="13" t="s">
        <v>46</v>
      </c>
      <c r="C10" s="13" t="s">
        <v>47</v>
      </c>
      <c r="D10" s="13" t="s">
        <v>71</v>
      </c>
      <c r="E10" s="14" t="s">
        <v>72</v>
      </c>
      <c r="F10" s="13" t="s">
        <v>73</v>
      </c>
      <c r="G10" s="14" t="s">
        <v>76</v>
      </c>
      <c r="H10" s="13" t="s">
        <v>52</v>
      </c>
      <c r="I10" s="13"/>
    </row>
    <row r="11" spans="1:9">
      <c r="A11" s="12" t="s">
        <v>77</v>
      </c>
      <c r="B11" s="13" t="s">
        <v>46</v>
      </c>
      <c r="C11" s="13" t="s">
        <v>47</v>
      </c>
      <c r="D11" s="13" t="s">
        <v>71</v>
      </c>
      <c r="E11" s="14" t="s">
        <v>72</v>
      </c>
      <c r="F11" s="13" t="s">
        <v>62</v>
      </c>
      <c r="G11" s="14" t="s">
        <v>78</v>
      </c>
      <c r="H11" s="13" t="s">
        <v>52</v>
      </c>
      <c r="I11" s="13"/>
    </row>
    <row r="12" spans="1:9">
      <c r="A12" s="12" t="s">
        <v>79</v>
      </c>
      <c r="B12" s="13" t="s">
        <v>46</v>
      </c>
      <c r="C12" s="13" t="s">
        <v>47</v>
      </c>
      <c r="D12" s="13" t="s">
        <v>71</v>
      </c>
      <c r="E12" s="14" t="s">
        <v>72</v>
      </c>
      <c r="F12" s="13" t="s">
        <v>62</v>
      </c>
      <c r="G12" s="14" t="s">
        <v>80</v>
      </c>
      <c r="H12" s="13" t="s">
        <v>52</v>
      </c>
      <c r="I12" s="13"/>
    </row>
    <row r="13" spans="1:9">
      <c r="A13" s="12" t="s">
        <v>81</v>
      </c>
      <c r="B13" s="13" t="s">
        <v>46</v>
      </c>
      <c r="C13" s="13" t="s">
        <v>47</v>
      </c>
      <c r="D13" s="13" t="s">
        <v>71</v>
      </c>
      <c r="E13" s="14" t="s">
        <v>72</v>
      </c>
      <c r="F13" s="13" t="s">
        <v>59</v>
      </c>
      <c r="G13" s="14" t="s">
        <v>82</v>
      </c>
      <c r="H13" s="13" t="s">
        <v>52</v>
      </c>
      <c r="I13" s="13"/>
    </row>
    <row r="14" spans="1:9">
      <c r="A14" s="12" t="s">
        <v>83</v>
      </c>
      <c r="B14" s="13" t="s">
        <v>46</v>
      </c>
      <c r="C14" s="13" t="s">
        <v>47</v>
      </c>
      <c r="D14" s="13" t="s">
        <v>71</v>
      </c>
      <c r="E14" s="14" t="s">
        <v>72</v>
      </c>
      <c r="F14" s="13" t="s">
        <v>84</v>
      </c>
      <c r="G14" s="14" t="s">
        <v>85</v>
      </c>
      <c r="H14" s="13" t="s">
        <v>52</v>
      </c>
      <c r="I14" s="13"/>
    </row>
    <row r="15" spans="1:9">
      <c r="A15" s="12" t="s">
        <v>86</v>
      </c>
      <c r="B15" s="13" t="s">
        <v>46</v>
      </c>
      <c r="C15" s="13" t="s">
        <v>47</v>
      </c>
      <c r="D15" s="13" t="s">
        <v>71</v>
      </c>
      <c r="E15" s="14" t="s">
        <v>72</v>
      </c>
      <c r="F15" s="13" t="s">
        <v>87</v>
      </c>
      <c r="G15" s="14" t="s">
        <v>88</v>
      </c>
      <c r="H15" s="13" t="s">
        <v>52</v>
      </c>
      <c r="I15" s="13"/>
    </row>
    <row r="16" spans="1:9">
      <c r="A16" s="12" t="s">
        <v>89</v>
      </c>
      <c r="B16" s="13" t="s">
        <v>46</v>
      </c>
      <c r="C16" s="13" t="s">
        <v>47</v>
      </c>
      <c r="D16" s="13" t="s">
        <v>71</v>
      </c>
      <c r="E16" s="14" t="s">
        <v>72</v>
      </c>
      <c r="F16" s="13" t="s">
        <v>90</v>
      </c>
      <c r="G16" s="14" t="s">
        <v>91</v>
      </c>
      <c r="H16" s="13" t="s">
        <v>52</v>
      </c>
      <c r="I16" s="13"/>
    </row>
    <row r="17" spans="1:9">
      <c r="A17" s="12" t="s">
        <v>92</v>
      </c>
      <c r="B17" s="13" t="s">
        <v>46</v>
      </c>
      <c r="C17" s="13" t="s">
        <v>47</v>
      </c>
      <c r="D17" s="13" t="s">
        <v>71</v>
      </c>
      <c r="E17" s="14" t="s">
        <v>72</v>
      </c>
      <c r="F17" s="13" t="s">
        <v>93</v>
      </c>
      <c r="G17" s="14" t="s">
        <v>94</v>
      </c>
      <c r="H17" s="13" t="s">
        <v>52</v>
      </c>
      <c r="I17" s="13"/>
    </row>
    <row r="18" spans="1:9">
      <c r="A18" s="12" t="s">
        <v>95</v>
      </c>
      <c r="B18" s="13" t="s">
        <v>46</v>
      </c>
      <c r="C18" s="13" t="s">
        <v>47</v>
      </c>
      <c r="D18" s="13" t="s">
        <v>71</v>
      </c>
      <c r="E18" s="14" t="s">
        <v>72</v>
      </c>
      <c r="F18" s="13" t="s">
        <v>96</v>
      </c>
      <c r="G18" s="14" t="s">
        <v>97</v>
      </c>
      <c r="H18" s="13" t="s">
        <v>52</v>
      </c>
      <c r="I18" s="13"/>
    </row>
    <row r="19" spans="1:9">
      <c r="A19" s="12" t="s">
        <v>98</v>
      </c>
      <c r="B19" s="13" t="s">
        <v>46</v>
      </c>
      <c r="C19" s="13" t="s">
        <v>47</v>
      </c>
      <c r="D19" s="13" t="s">
        <v>71</v>
      </c>
      <c r="E19" s="14" t="s">
        <v>72</v>
      </c>
      <c r="F19" s="13" t="s">
        <v>62</v>
      </c>
      <c r="G19" s="14" t="s">
        <v>99</v>
      </c>
      <c r="H19" s="15" t="s">
        <v>67</v>
      </c>
      <c r="I19" s="13"/>
    </row>
    <row r="20" spans="1:9">
      <c r="A20" s="12" t="s">
        <v>100</v>
      </c>
      <c r="B20" s="13" t="s">
        <v>46</v>
      </c>
      <c r="C20" s="13" t="s">
        <v>47</v>
      </c>
      <c r="D20" s="13" t="s">
        <v>71</v>
      </c>
      <c r="E20" s="14" t="s">
        <v>72</v>
      </c>
      <c r="F20" s="13" t="s">
        <v>65</v>
      </c>
      <c r="G20" s="14" t="s">
        <v>101</v>
      </c>
      <c r="H20" s="15" t="s">
        <v>67</v>
      </c>
      <c r="I20" s="13"/>
    </row>
    <row r="21" spans="1:9">
      <c r="A21" s="16" t="s">
        <v>102</v>
      </c>
      <c r="B21" s="17" t="s">
        <v>46</v>
      </c>
      <c r="C21" s="17" t="s">
        <v>47</v>
      </c>
      <c r="D21" s="17" t="s">
        <v>103</v>
      </c>
      <c r="E21" s="18" t="s">
        <v>104</v>
      </c>
      <c r="F21" s="17" t="s">
        <v>105</v>
      </c>
      <c r="G21" s="18" t="s">
        <v>106</v>
      </c>
      <c r="H21" s="17" t="s">
        <v>52</v>
      </c>
      <c r="I21" s="17"/>
    </row>
    <row r="22" spans="1:9">
      <c r="A22" s="16" t="s">
        <v>107</v>
      </c>
      <c r="B22" s="17" t="s">
        <v>46</v>
      </c>
      <c r="C22" s="17" t="s">
        <v>47</v>
      </c>
      <c r="D22" s="17" t="s">
        <v>103</v>
      </c>
      <c r="E22" s="18" t="s">
        <v>104</v>
      </c>
      <c r="F22" s="17" t="s">
        <v>105</v>
      </c>
      <c r="G22" s="18" t="s">
        <v>108</v>
      </c>
      <c r="H22" s="17" t="s">
        <v>52</v>
      </c>
      <c r="I22" s="17"/>
    </row>
    <row r="23" spans="1:9">
      <c r="A23" s="16" t="s">
        <v>109</v>
      </c>
      <c r="B23" s="17" t="s">
        <v>46</v>
      </c>
      <c r="C23" s="17" t="s">
        <v>47</v>
      </c>
      <c r="D23" s="17" t="s">
        <v>103</v>
      </c>
      <c r="E23" s="18" t="s">
        <v>104</v>
      </c>
      <c r="F23" s="17" t="s">
        <v>110</v>
      </c>
      <c r="G23" s="18" t="s">
        <v>111</v>
      </c>
      <c r="H23" s="17" t="s">
        <v>52</v>
      </c>
      <c r="I23" s="17"/>
    </row>
    <row r="24" spans="1:9">
      <c r="A24" s="16" t="s">
        <v>112</v>
      </c>
      <c r="B24" s="17" t="s">
        <v>46</v>
      </c>
      <c r="C24" s="17" t="s">
        <v>47</v>
      </c>
      <c r="D24" s="17" t="s">
        <v>103</v>
      </c>
      <c r="E24" s="18" t="s">
        <v>104</v>
      </c>
      <c r="F24" s="17" t="s">
        <v>113</v>
      </c>
      <c r="G24" s="18" t="s">
        <v>114</v>
      </c>
      <c r="H24" s="17" t="s">
        <v>52</v>
      </c>
      <c r="I24" s="17"/>
    </row>
    <row r="25" spans="1:9">
      <c r="A25" s="16" t="s">
        <v>115</v>
      </c>
      <c r="B25" s="17" t="s">
        <v>46</v>
      </c>
      <c r="C25" s="17" t="s">
        <v>47</v>
      </c>
      <c r="D25" s="17" t="s">
        <v>103</v>
      </c>
      <c r="E25" s="18" t="s">
        <v>104</v>
      </c>
      <c r="F25" s="17" t="s">
        <v>116</v>
      </c>
      <c r="G25" s="18" t="s">
        <v>117</v>
      </c>
      <c r="H25" s="17" t="s">
        <v>52</v>
      </c>
      <c r="I25" s="17"/>
    </row>
    <row r="26" spans="1:9">
      <c r="A26" s="16" t="s">
        <v>118</v>
      </c>
      <c r="B26" s="17" t="s">
        <v>46</v>
      </c>
      <c r="C26" s="17" t="s">
        <v>47</v>
      </c>
      <c r="D26" s="17" t="s">
        <v>103</v>
      </c>
      <c r="E26" s="18" t="s">
        <v>104</v>
      </c>
      <c r="F26" s="17" t="s">
        <v>119</v>
      </c>
      <c r="G26" s="18" t="s">
        <v>120</v>
      </c>
      <c r="H26" s="17" t="s">
        <v>52</v>
      </c>
      <c r="I26" s="17"/>
    </row>
    <row r="27" spans="1:9">
      <c r="A27" s="16" t="s">
        <v>121</v>
      </c>
      <c r="B27" s="17" t="s">
        <v>46</v>
      </c>
      <c r="C27" s="17" t="s">
        <v>47</v>
      </c>
      <c r="D27" s="17" t="s">
        <v>103</v>
      </c>
      <c r="E27" s="18" t="s">
        <v>104</v>
      </c>
      <c r="F27" s="17" t="s">
        <v>116</v>
      </c>
      <c r="G27" s="18" t="s">
        <v>122</v>
      </c>
      <c r="H27" s="19" t="s">
        <v>67</v>
      </c>
      <c r="I27" s="17"/>
    </row>
    <row r="28" spans="1:9">
      <c r="A28" s="16" t="s">
        <v>123</v>
      </c>
      <c r="B28" s="17" t="s">
        <v>46</v>
      </c>
      <c r="C28" s="17" t="s">
        <v>47</v>
      </c>
      <c r="D28" s="17" t="s">
        <v>103</v>
      </c>
      <c r="E28" s="18" t="s">
        <v>104</v>
      </c>
      <c r="F28" s="17" t="s">
        <v>116</v>
      </c>
      <c r="G28" s="18" t="s">
        <v>124</v>
      </c>
      <c r="H28" s="19" t="s">
        <v>67</v>
      </c>
      <c r="I28" s="17"/>
    </row>
    <row r="29" spans="1:9">
      <c r="A29" s="16" t="s">
        <v>125</v>
      </c>
      <c r="B29" s="17" t="s">
        <v>46</v>
      </c>
      <c r="C29" s="17" t="s">
        <v>47</v>
      </c>
      <c r="D29" s="17" t="s">
        <v>103</v>
      </c>
      <c r="E29" s="18" t="s">
        <v>104</v>
      </c>
      <c r="F29" s="17" t="s">
        <v>126</v>
      </c>
      <c r="G29" s="18" t="s">
        <v>127</v>
      </c>
      <c r="H29" s="19" t="s">
        <v>67</v>
      </c>
      <c r="I29" s="17"/>
    </row>
    <row r="30" spans="1:9">
      <c r="A30" s="16" t="s">
        <v>128</v>
      </c>
      <c r="B30" s="17" t="s">
        <v>46</v>
      </c>
      <c r="C30" s="17" t="s">
        <v>47</v>
      </c>
      <c r="D30" s="17" t="s">
        <v>103</v>
      </c>
      <c r="E30" s="18" t="s">
        <v>104</v>
      </c>
      <c r="F30" s="17" t="s">
        <v>129</v>
      </c>
      <c r="G30" s="18" t="s">
        <v>130</v>
      </c>
      <c r="H30" s="19" t="s">
        <v>67</v>
      </c>
      <c r="I30" s="17"/>
    </row>
    <row r="31" spans="1:9">
      <c r="A31" s="8" t="s">
        <v>131</v>
      </c>
      <c r="B31" s="9" t="s">
        <v>132</v>
      </c>
      <c r="C31" s="9" t="s">
        <v>133</v>
      </c>
      <c r="D31" s="9" t="s">
        <v>48</v>
      </c>
      <c r="E31" s="10" t="s">
        <v>49</v>
      </c>
      <c r="F31" s="9" t="s">
        <v>65</v>
      </c>
      <c r="G31" s="10" t="s">
        <v>134</v>
      </c>
      <c r="H31" s="9" t="s">
        <v>52</v>
      </c>
      <c r="I31" s="9"/>
    </row>
    <row r="32" spans="1:9">
      <c r="A32" s="8" t="s">
        <v>135</v>
      </c>
      <c r="B32" s="9" t="s">
        <v>132</v>
      </c>
      <c r="C32" s="9" t="s">
        <v>133</v>
      </c>
      <c r="D32" s="9" t="s">
        <v>48</v>
      </c>
      <c r="E32" s="10" t="s">
        <v>49</v>
      </c>
      <c r="F32" s="9" t="s">
        <v>136</v>
      </c>
      <c r="G32" s="10" t="s">
        <v>137</v>
      </c>
      <c r="H32" s="9" t="s">
        <v>52</v>
      </c>
      <c r="I32" s="9"/>
    </row>
    <row r="33" spans="1:9">
      <c r="A33" s="8" t="s">
        <v>138</v>
      </c>
      <c r="B33" s="9" t="s">
        <v>132</v>
      </c>
      <c r="C33" s="9" t="s">
        <v>133</v>
      </c>
      <c r="D33" s="9" t="s">
        <v>48</v>
      </c>
      <c r="E33" s="10" t="s">
        <v>49</v>
      </c>
      <c r="F33" s="9" t="s">
        <v>139</v>
      </c>
      <c r="G33" s="10" t="s">
        <v>140</v>
      </c>
      <c r="H33" s="9" t="s">
        <v>52</v>
      </c>
      <c r="I33" s="9"/>
    </row>
    <row r="34" spans="1:9">
      <c r="A34" s="8" t="s">
        <v>141</v>
      </c>
      <c r="B34" s="9" t="s">
        <v>132</v>
      </c>
      <c r="C34" s="9" t="s">
        <v>133</v>
      </c>
      <c r="D34" s="9" t="s">
        <v>48</v>
      </c>
      <c r="E34" s="10" t="s">
        <v>49</v>
      </c>
      <c r="F34" s="9" t="s">
        <v>87</v>
      </c>
      <c r="G34" s="10" t="s">
        <v>142</v>
      </c>
      <c r="H34" s="9" t="s">
        <v>52</v>
      </c>
      <c r="I34" s="9"/>
    </row>
    <row r="35" spans="1:9">
      <c r="A35" s="8" t="s">
        <v>143</v>
      </c>
      <c r="B35" s="9" t="s">
        <v>132</v>
      </c>
      <c r="C35" s="9" t="s">
        <v>133</v>
      </c>
      <c r="D35" s="9" t="s">
        <v>48</v>
      </c>
      <c r="E35" s="10" t="s">
        <v>49</v>
      </c>
      <c r="F35" s="9" t="s">
        <v>65</v>
      </c>
      <c r="G35" s="10" t="s">
        <v>144</v>
      </c>
      <c r="H35" s="11" t="s">
        <v>67</v>
      </c>
      <c r="I35" s="9"/>
    </row>
    <row r="36" spans="1:9">
      <c r="A36" s="12" t="s">
        <v>145</v>
      </c>
      <c r="B36" s="13" t="s">
        <v>132</v>
      </c>
      <c r="C36" s="13" t="s">
        <v>133</v>
      </c>
      <c r="D36" s="13" t="s">
        <v>71</v>
      </c>
      <c r="E36" s="14" t="s">
        <v>72</v>
      </c>
      <c r="F36" s="13" t="s">
        <v>146</v>
      </c>
      <c r="G36" s="14" t="s">
        <v>147</v>
      </c>
      <c r="H36" s="13" t="s">
        <v>52</v>
      </c>
      <c r="I36" s="13"/>
    </row>
    <row r="37" spans="1:9">
      <c r="A37" s="12" t="s">
        <v>148</v>
      </c>
      <c r="B37" s="13" t="s">
        <v>132</v>
      </c>
      <c r="C37" s="13" t="s">
        <v>133</v>
      </c>
      <c r="D37" s="13" t="s">
        <v>71</v>
      </c>
      <c r="E37" s="14" t="s">
        <v>72</v>
      </c>
      <c r="F37" s="13" t="s">
        <v>149</v>
      </c>
      <c r="G37" s="14" t="s">
        <v>150</v>
      </c>
      <c r="H37" s="13" t="s">
        <v>52</v>
      </c>
      <c r="I37" s="13"/>
    </row>
    <row r="38" spans="1:9">
      <c r="A38" s="12" t="s">
        <v>151</v>
      </c>
      <c r="B38" s="13" t="s">
        <v>132</v>
      </c>
      <c r="C38" s="13" t="s">
        <v>133</v>
      </c>
      <c r="D38" s="13" t="s">
        <v>71</v>
      </c>
      <c r="E38" s="14" t="s">
        <v>72</v>
      </c>
      <c r="F38" s="13" t="s">
        <v>149</v>
      </c>
      <c r="G38" s="14" t="s">
        <v>152</v>
      </c>
      <c r="H38" s="13" t="s">
        <v>52</v>
      </c>
      <c r="I38" s="13"/>
    </row>
    <row r="39" spans="1:9">
      <c r="A39" s="12" t="s">
        <v>153</v>
      </c>
      <c r="B39" s="13" t="s">
        <v>132</v>
      </c>
      <c r="C39" s="13" t="s">
        <v>133</v>
      </c>
      <c r="D39" s="13" t="s">
        <v>71</v>
      </c>
      <c r="E39" s="14" t="s">
        <v>72</v>
      </c>
      <c r="F39" s="13" t="s">
        <v>110</v>
      </c>
      <c r="G39" s="14" t="s">
        <v>154</v>
      </c>
      <c r="H39" s="13" t="s">
        <v>52</v>
      </c>
      <c r="I39" s="13"/>
    </row>
    <row r="40" spans="1:9">
      <c r="A40" s="12" t="s">
        <v>155</v>
      </c>
      <c r="B40" s="13" t="s">
        <v>132</v>
      </c>
      <c r="C40" s="13" t="s">
        <v>133</v>
      </c>
      <c r="D40" s="13" t="s">
        <v>71</v>
      </c>
      <c r="E40" s="14" t="s">
        <v>72</v>
      </c>
      <c r="F40" s="13" t="s">
        <v>156</v>
      </c>
      <c r="G40" s="14" t="s">
        <v>157</v>
      </c>
      <c r="H40" s="13" t="s">
        <v>52</v>
      </c>
      <c r="I40" s="13"/>
    </row>
    <row r="41" spans="1:9">
      <c r="A41" s="12" t="s">
        <v>158</v>
      </c>
      <c r="B41" s="13" t="s">
        <v>132</v>
      </c>
      <c r="C41" s="13" t="s">
        <v>133</v>
      </c>
      <c r="D41" s="13" t="s">
        <v>71</v>
      </c>
      <c r="E41" s="14" t="s">
        <v>72</v>
      </c>
      <c r="F41" s="13" t="s">
        <v>156</v>
      </c>
      <c r="G41" s="14" t="s">
        <v>159</v>
      </c>
      <c r="H41" s="13" t="s">
        <v>52</v>
      </c>
      <c r="I41" s="13"/>
    </row>
    <row r="42" spans="1:9">
      <c r="A42" s="12" t="s">
        <v>160</v>
      </c>
      <c r="B42" s="13" t="s">
        <v>132</v>
      </c>
      <c r="C42" s="13" t="s">
        <v>133</v>
      </c>
      <c r="D42" s="13" t="s">
        <v>71</v>
      </c>
      <c r="E42" s="14" t="s">
        <v>72</v>
      </c>
      <c r="F42" s="13" t="s">
        <v>161</v>
      </c>
      <c r="G42" s="14" t="s">
        <v>162</v>
      </c>
      <c r="H42" s="13" t="s">
        <v>52</v>
      </c>
      <c r="I42" s="13"/>
    </row>
    <row r="43" spans="1:9">
      <c r="A43" s="12" t="s">
        <v>163</v>
      </c>
      <c r="B43" s="13" t="s">
        <v>132</v>
      </c>
      <c r="C43" s="13" t="s">
        <v>133</v>
      </c>
      <c r="D43" s="13" t="s">
        <v>71</v>
      </c>
      <c r="E43" s="14" t="s">
        <v>72</v>
      </c>
      <c r="F43" s="13" t="s">
        <v>110</v>
      </c>
      <c r="G43" s="14" t="s">
        <v>164</v>
      </c>
      <c r="H43" s="15" t="s">
        <v>67</v>
      </c>
      <c r="I43" s="13"/>
    </row>
    <row r="44" spans="1:9">
      <c r="A44" s="16" t="s">
        <v>165</v>
      </c>
      <c r="B44" s="17" t="s">
        <v>132</v>
      </c>
      <c r="C44" s="17" t="s">
        <v>133</v>
      </c>
      <c r="D44" s="17" t="s">
        <v>103</v>
      </c>
      <c r="E44" s="18" t="s">
        <v>104</v>
      </c>
      <c r="F44" s="17" t="s">
        <v>166</v>
      </c>
      <c r="G44" s="18" t="s">
        <v>167</v>
      </c>
      <c r="H44" s="17" t="s">
        <v>52</v>
      </c>
      <c r="I44" s="17"/>
    </row>
    <row r="45" spans="1:9">
      <c r="A45" s="16" t="s">
        <v>168</v>
      </c>
      <c r="B45" s="17" t="s">
        <v>132</v>
      </c>
      <c r="C45" s="17" t="s">
        <v>133</v>
      </c>
      <c r="D45" s="17" t="s">
        <v>103</v>
      </c>
      <c r="E45" s="18" t="s">
        <v>104</v>
      </c>
      <c r="F45" s="17" t="s">
        <v>110</v>
      </c>
      <c r="G45" s="18" t="s">
        <v>169</v>
      </c>
      <c r="H45" s="17" t="s">
        <v>52</v>
      </c>
      <c r="I45" s="17"/>
    </row>
    <row r="46" spans="1:9">
      <c r="A46" s="16" t="s">
        <v>170</v>
      </c>
      <c r="B46" s="17" t="s">
        <v>132</v>
      </c>
      <c r="C46" s="17" t="s">
        <v>133</v>
      </c>
      <c r="D46" s="17" t="s">
        <v>103</v>
      </c>
      <c r="E46" s="18" t="s">
        <v>104</v>
      </c>
      <c r="F46" s="17" t="s">
        <v>73</v>
      </c>
      <c r="G46" s="18" t="s">
        <v>171</v>
      </c>
      <c r="H46" s="17" t="s">
        <v>52</v>
      </c>
      <c r="I46" s="17"/>
    </row>
    <row r="47" spans="1:9">
      <c r="A47" s="16" t="s">
        <v>172</v>
      </c>
      <c r="B47" s="17" t="s">
        <v>132</v>
      </c>
      <c r="C47" s="17" t="s">
        <v>133</v>
      </c>
      <c r="D47" s="17" t="s">
        <v>103</v>
      </c>
      <c r="E47" s="18" t="s">
        <v>104</v>
      </c>
      <c r="F47" s="17" t="s">
        <v>116</v>
      </c>
      <c r="G47" s="18" t="s">
        <v>173</v>
      </c>
      <c r="H47" s="17" t="s">
        <v>52</v>
      </c>
      <c r="I47" s="17"/>
    </row>
    <row r="48" spans="1:9">
      <c r="A48" s="16" t="s">
        <v>174</v>
      </c>
      <c r="B48" s="17" t="s">
        <v>132</v>
      </c>
      <c r="C48" s="17" t="s">
        <v>133</v>
      </c>
      <c r="D48" s="17" t="s">
        <v>103</v>
      </c>
      <c r="E48" s="18" t="s">
        <v>104</v>
      </c>
      <c r="F48" s="17" t="s">
        <v>126</v>
      </c>
      <c r="G48" s="18" t="s">
        <v>175</v>
      </c>
      <c r="H48" s="19" t="s">
        <v>67</v>
      </c>
      <c r="I48" s="17"/>
    </row>
    <row r="49" spans="1:9">
      <c r="A49" s="16" t="s">
        <v>176</v>
      </c>
      <c r="B49" s="17" t="s">
        <v>132</v>
      </c>
      <c r="C49" s="17" t="s">
        <v>133</v>
      </c>
      <c r="D49" s="17" t="s">
        <v>103</v>
      </c>
      <c r="E49" s="18" t="s">
        <v>104</v>
      </c>
      <c r="F49" s="17" t="s">
        <v>116</v>
      </c>
      <c r="G49" s="18" t="s">
        <v>177</v>
      </c>
      <c r="H49" s="19" t="s">
        <v>67</v>
      </c>
      <c r="I49" s="17"/>
    </row>
    <row r="50" spans="1:9">
      <c r="A50" s="16" t="s">
        <v>178</v>
      </c>
      <c r="B50" s="17" t="s">
        <v>132</v>
      </c>
      <c r="C50" s="17" t="s">
        <v>133</v>
      </c>
      <c r="D50" s="17" t="s">
        <v>103</v>
      </c>
      <c r="E50" s="18" t="s">
        <v>104</v>
      </c>
      <c r="F50" s="17" t="s">
        <v>126</v>
      </c>
      <c r="G50" s="18" t="s">
        <v>179</v>
      </c>
      <c r="H50" s="19" t="s">
        <v>67</v>
      </c>
      <c r="I50" s="17"/>
    </row>
    <row r="51" spans="1:9">
      <c r="A51" s="8" t="s">
        <v>180</v>
      </c>
      <c r="B51" s="9" t="s">
        <v>181</v>
      </c>
      <c r="C51" s="9" t="s">
        <v>182</v>
      </c>
      <c r="D51" s="9" t="s">
        <v>48</v>
      </c>
      <c r="E51" s="10" t="s">
        <v>49</v>
      </c>
      <c r="F51" s="9" t="s">
        <v>183</v>
      </c>
      <c r="G51" s="10" t="s">
        <v>184</v>
      </c>
      <c r="H51" s="9" t="s">
        <v>52</v>
      </c>
      <c r="I51" s="9"/>
    </row>
    <row r="52" spans="1:9">
      <c r="A52" s="8" t="s">
        <v>185</v>
      </c>
      <c r="B52" s="9" t="s">
        <v>181</v>
      </c>
      <c r="C52" s="9" t="s">
        <v>182</v>
      </c>
      <c r="D52" s="9" t="s">
        <v>48</v>
      </c>
      <c r="E52" s="10" t="s">
        <v>49</v>
      </c>
      <c r="F52" s="9" t="s">
        <v>65</v>
      </c>
      <c r="G52" s="10" t="s">
        <v>186</v>
      </c>
      <c r="H52" s="9" t="s">
        <v>52</v>
      </c>
      <c r="I52" s="9"/>
    </row>
    <row r="53" spans="1:9">
      <c r="A53" s="8" t="s">
        <v>187</v>
      </c>
      <c r="B53" s="9" t="s">
        <v>181</v>
      </c>
      <c r="C53" s="9" t="s">
        <v>182</v>
      </c>
      <c r="D53" s="9" t="s">
        <v>48</v>
      </c>
      <c r="E53" s="10" t="s">
        <v>49</v>
      </c>
      <c r="F53" s="9" t="s">
        <v>65</v>
      </c>
      <c r="G53" s="10" t="s">
        <v>188</v>
      </c>
      <c r="H53" s="9" t="s">
        <v>52</v>
      </c>
      <c r="I53" s="9"/>
    </row>
    <row r="54" spans="1:9">
      <c r="A54" s="8" t="s">
        <v>189</v>
      </c>
      <c r="B54" s="9" t="s">
        <v>181</v>
      </c>
      <c r="C54" s="9" t="s">
        <v>182</v>
      </c>
      <c r="D54" s="9" t="s">
        <v>48</v>
      </c>
      <c r="E54" s="10" t="s">
        <v>49</v>
      </c>
      <c r="F54" s="9" t="s">
        <v>190</v>
      </c>
      <c r="G54" s="10" t="s">
        <v>191</v>
      </c>
      <c r="H54" s="9" t="s">
        <v>52</v>
      </c>
      <c r="I54" s="9"/>
    </row>
    <row r="55" spans="1:9">
      <c r="A55" s="8" t="s">
        <v>192</v>
      </c>
      <c r="B55" s="9" t="s">
        <v>181</v>
      </c>
      <c r="C55" s="9" t="s">
        <v>182</v>
      </c>
      <c r="D55" s="9" t="s">
        <v>48</v>
      </c>
      <c r="E55" s="10" t="s">
        <v>49</v>
      </c>
      <c r="F55" s="9" t="s">
        <v>190</v>
      </c>
      <c r="G55" s="10" t="s">
        <v>193</v>
      </c>
      <c r="H55" s="9" t="s">
        <v>52</v>
      </c>
      <c r="I55" s="9"/>
    </row>
    <row r="56" spans="1:9">
      <c r="A56" s="8" t="s">
        <v>194</v>
      </c>
      <c r="B56" s="9" t="s">
        <v>181</v>
      </c>
      <c r="C56" s="9" t="s">
        <v>182</v>
      </c>
      <c r="D56" s="9" t="s">
        <v>48</v>
      </c>
      <c r="E56" s="10" t="s">
        <v>49</v>
      </c>
      <c r="F56" s="9" t="s">
        <v>195</v>
      </c>
      <c r="G56" s="10" t="s">
        <v>196</v>
      </c>
      <c r="H56" s="9" t="s">
        <v>52</v>
      </c>
      <c r="I56" s="9"/>
    </row>
    <row r="57" spans="1:9">
      <c r="A57" s="12" t="s">
        <v>197</v>
      </c>
      <c r="B57" s="13" t="s">
        <v>181</v>
      </c>
      <c r="C57" s="13" t="s">
        <v>182</v>
      </c>
      <c r="D57" s="13" t="s">
        <v>71</v>
      </c>
      <c r="E57" s="14" t="s">
        <v>72</v>
      </c>
      <c r="F57" s="13" t="s">
        <v>73</v>
      </c>
      <c r="G57" s="14" t="s">
        <v>198</v>
      </c>
      <c r="H57" s="13" t="s">
        <v>52</v>
      </c>
      <c r="I57" s="13"/>
    </row>
    <row r="58" spans="1:9">
      <c r="A58" s="12" t="s">
        <v>199</v>
      </c>
      <c r="B58" s="13" t="s">
        <v>181</v>
      </c>
      <c r="C58" s="13" t="s">
        <v>182</v>
      </c>
      <c r="D58" s="13" t="s">
        <v>71</v>
      </c>
      <c r="E58" s="14" t="s">
        <v>72</v>
      </c>
      <c r="F58" s="13" t="s">
        <v>200</v>
      </c>
      <c r="G58" s="14" t="s">
        <v>201</v>
      </c>
      <c r="H58" s="13" t="s">
        <v>52</v>
      </c>
      <c r="I58" s="13"/>
    </row>
    <row r="59" spans="1:9">
      <c r="A59" s="12" t="s">
        <v>202</v>
      </c>
      <c r="B59" s="13" t="s">
        <v>181</v>
      </c>
      <c r="C59" s="13" t="s">
        <v>182</v>
      </c>
      <c r="D59" s="13" t="s">
        <v>71</v>
      </c>
      <c r="E59" s="14" t="s">
        <v>72</v>
      </c>
      <c r="F59" s="13" t="s">
        <v>203</v>
      </c>
      <c r="G59" s="14" t="s">
        <v>204</v>
      </c>
      <c r="H59" s="13" t="s">
        <v>52</v>
      </c>
      <c r="I59" s="13"/>
    </row>
    <row r="60" spans="1:9">
      <c r="A60" s="12" t="s">
        <v>205</v>
      </c>
      <c r="B60" s="13" t="s">
        <v>181</v>
      </c>
      <c r="C60" s="13" t="s">
        <v>182</v>
      </c>
      <c r="D60" s="13" t="s">
        <v>71</v>
      </c>
      <c r="E60" s="14" t="s">
        <v>72</v>
      </c>
      <c r="F60" s="13" t="s">
        <v>206</v>
      </c>
      <c r="G60" s="14" t="s">
        <v>207</v>
      </c>
      <c r="H60" s="13" t="s">
        <v>52</v>
      </c>
      <c r="I60" s="13"/>
    </row>
    <row r="61" spans="1:9">
      <c r="A61" s="12" t="s">
        <v>208</v>
      </c>
      <c r="B61" s="13" t="s">
        <v>181</v>
      </c>
      <c r="C61" s="13" t="s">
        <v>182</v>
      </c>
      <c r="D61" s="13" t="s">
        <v>71</v>
      </c>
      <c r="E61" s="14" t="s">
        <v>72</v>
      </c>
      <c r="F61" s="13" t="s">
        <v>209</v>
      </c>
      <c r="G61" s="14" t="s">
        <v>210</v>
      </c>
      <c r="H61" s="13" t="s">
        <v>52</v>
      </c>
      <c r="I61" s="13"/>
    </row>
    <row r="62" spans="1:9">
      <c r="A62" s="12" t="s">
        <v>211</v>
      </c>
      <c r="B62" s="13" t="s">
        <v>181</v>
      </c>
      <c r="C62" s="13" t="s">
        <v>182</v>
      </c>
      <c r="D62" s="13" t="s">
        <v>71</v>
      </c>
      <c r="E62" s="14" t="s">
        <v>72</v>
      </c>
      <c r="F62" s="13" t="s">
        <v>212</v>
      </c>
      <c r="G62" s="14" t="s">
        <v>213</v>
      </c>
      <c r="H62" s="13" t="s">
        <v>52</v>
      </c>
      <c r="I62" s="13"/>
    </row>
    <row r="63" spans="1:9">
      <c r="A63" s="12" t="s">
        <v>214</v>
      </c>
      <c r="B63" s="13" t="s">
        <v>181</v>
      </c>
      <c r="C63" s="13" t="s">
        <v>182</v>
      </c>
      <c r="D63" s="13" t="s">
        <v>71</v>
      </c>
      <c r="E63" s="14" t="s">
        <v>72</v>
      </c>
      <c r="F63" s="13" t="s">
        <v>156</v>
      </c>
      <c r="G63" s="14" t="s">
        <v>215</v>
      </c>
      <c r="H63" s="13" t="s">
        <v>52</v>
      </c>
      <c r="I63" s="13"/>
    </row>
    <row r="64" spans="1:9">
      <c r="A64" s="12" t="s">
        <v>216</v>
      </c>
      <c r="B64" s="13" t="s">
        <v>181</v>
      </c>
      <c r="C64" s="13" t="s">
        <v>182</v>
      </c>
      <c r="D64" s="13" t="s">
        <v>71</v>
      </c>
      <c r="E64" s="14" t="s">
        <v>72</v>
      </c>
      <c r="F64" s="13" t="s">
        <v>195</v>
      </c>
      <c r="G64" s="14" t="s">
        <v>217</v>
      </c>
      <c r="H64" s="13" t="s">
        <v>52</v>
      </c>
      <c r="I64" s="13"/>
    </row>
    <row r="65" spans="1:9">
      <c r="A65" s="12" t="s">
        <v>218</v>
      </c>
      <c r="B65" s="13" t="s">
        <v>181</v>
      </c>
      <c r="C65" s="13" t="s">
        <v>182</v>
      </c>
      <c r="D65" s="13" t="s">
        <v>71</v>
      </c>
      <c r="E65" s="14" t="s">
        <v>72</v>
      </c>
      <c r="F65" s="13" t="s">
        <v>219</v>
      </c>
      <c r="G65" s="14" t="s">
        <v>220</v>
      </c>
      <c r="H65" s="13" t="s">
        <v>52</v>
      </c>
      <c r="I65" s="13"/>
    </row>
    <row r="66" spans="1:9">
      <c r="A66" s="12" t="s">
        <v>221</v>
      </c>
      <c r="B66" s="13" t="s">
        <v>181</v>
      </c>
      <c r="C66" s="13" t="s">
        <v>182</v>
      </c>
      <c r="D66" s="13" t="s">
        <v>71</v>
      </c>
      <c r="E66" s="14" t="s">
        <v>72</v>
      </c>
      <c r="F66" s="13" t="s">
        <v>222</v>
      </c>
      <c r="G66" s="14" t="s">
        <v>223</v>
      </c>
      <c r="H66" s="13" t="s">
        <v>52</v>
      </c>
      <c r="I66" s="13"/>
    </row>
    <row r="67" spans="1:9">
      <c r="A67" s="12" t="s">
        <v>224</v>
      </c>
      <c r="B67" s="13" t="s">
        <v>181</v>
      </c>
      <c r="C67" s="13" t="s">
        <v>182</v>
      </c>
      <c r="D67" s="13" t="s">
        <v>71</v>
      </c>
      <c r="E67" s="14" t="s">
        <v>72</v>
      </c>
      <c r="F67" s="13" t="s">
        <v>225</v>
      </c>
      <c r="G67" s="14" t="s">
        <v>226</v>
      </c>
      <c r="H67" s="13" t="s">
        <v>52</v>
      </c>
      <c r="I67" s="13"/>
    </row>
    <row r="68" spans="1:9">
      <c r="A68" s="12" t="s">
        <v>227</v>
      </c>
      <c r="B68" s="13" t="s">
        <v>181</v>
      </c>
      <c r="C68" s="13" t="s">
        <v>182</v>
      </c>
      <c r="D68" s="13" t="s">
        <v>71</v>
      </c>
      <c r="E68" s="14" t="s">
        <v>72</v>
      </c>
      <c r="F68" s="13" t="s">
        <v>62</v>
      </c>
      <c r="G68" s="14" t="s">
        <v>228</v>
      </c>
      <c r="H68" s="13" t="s">
        <v>52</v>
      </c>
      <c r="I68" s="13"/>
    </row>
    <row r="69" spans="1:9">
      <c r="A69" s="12" t="s">
        <v>229</v>
      </c>
      <c r="B69" s="13" t="s">
        <v>181</v>
      </c>
      <c r="C69" s="13" t="s">
        <v>182</v>
      </c>
      <c r="D69" s="13" t="s">
        <v>71</v>
      </c>
      <c r="E69" s="14" t="s">
        <v>72</v>
      </c>
      <c r="F69" s="13" t="s">
        <v>90</v>
      </c>
      <c r="G69" s="14" t="s">
        <v>230</v>
      </c>
      <c r="H69" s="13" t="s">
        <v>52</v>
      </c>
      <c r="I69" s="13"/>
    </row>
    <row r="70" spans="1:9">
      <c r="A70" s="16" t="s">
        <v>231</v>
      </c>
      <c r="B70" s="17" t="s">
        <v>181</v>
      </c>
      <c r="C70" s="17" t="s">
        <v>182</v>
      </c>
      <c r="D70" s="17" t="s">
        <v>103</v>
      </c>
      <c r="E70" s="18" t="s">
        <v>104</v>
      </c>
      <c r="F70" s="17" t="s">
        <v>116</v>
      </c>
      <c r="G70" s="18" t="s">
        <v>232</v>
      </c>
      <c r="H70" s="19" t="s">
        <v>67</v>
      </c>
      <c r="I70" s="17"/>
    </row>
    <row r="71" spans="1:9">
      <c r="A71" s="16" t="s">
        <v>233</v>
      </c>
      <c r="B71" s="17" t="s">
        <v>181</v>
      </c>
      <c r="C71" s="17" t="s">
        <v>182</v>
      </c>
      <c r="D71" s="17" t="s">
        <v>103</v>
      </c>
      <c r="E71" s="18" t="s">
        <v>104</v>
      </c>
      <c r="F71" s="17" t="s">
        <v>234</v>
      </c>
      <c r="G71" s="18" t="s">
        <v>235</v>
      </c>
      <c r="H71" s="19" t="s">
        <v>67</v>
      </c>
      <c r="I71" s="17"/>
    </row>
    <row r="72" spans="1:9">
      <c r="A72" s="16" t="s">
        <v>236</v>
      </c>
      <c r="B72" s="17" t="s">
        <v>181</v>
      </c>
      <c r="C72" s="17" t="s">
        <v>182</v>
      </c>
      <c r="D72" s="17" t="s">
        <v>103</v>
      </c>
      <c r="E72" s="18" t="s">
        <v>104</v>
      </c>
      <c r="F72" s="17" t="s">
        <v>126</v>
      </c>
      <c r="G72" s="18" t="s">
        <v>237</v>
      </c>
      <c r="H72" s="19" t="s">
        <v>67</v>
      </c>
      <c r="I72" s="17"/>
    </row>
    <row r="73" spans="1:9">
      <c r="A73" s="16" t="s">
        <v>238</v>
      </c>
      <c r="B73" s="17" t="s">
        <v>181</v>
      </c>
      <c r="C73" s="17" t="s">
        <v>182</v>
      </c>
      <c r="D73" s="17" t="s">
        <v>103</v>
      </c>
      <c r="E73" s="18" t="s">
        <v>104</v>
      </c>
      <c r="F73" s="17" t="s">
        <v>126</v>
      </c>
      <c r="G73" s="18" t="s">
        <v>239</v>
      </c>
      <c r="H73" s="19" t="s">
        <v>67</v>
      </c>
      <c r="I73" s="17"/>
    </row>
    <row r="74" spans="1:9">
      <c r="A74" s="8" t="s">
        <v>240</v>
      </c>
      <c r="B74" s="9" t="s">
        <v>241</v>
      </c>
      <c r="C74" s="9" t="s">
        <v>242</v>
      </c>
      <c r="D74" s="9" t="s">
        <v>48</v>
      </c>
      <c r="E74" s="10" t="s">
        <v>49</v>
      </c>
      <c r="F74" s="9" t="s">
        <v>243</v>
      </c>
      <c r="G74" s="10" t="s">
        <v>244</v>
      </c>
      <c r="H74" s="9" t="s">
        <v>52</v>
      </c>
      <c r="I74" s="9"/>
    </row>
    <row r="75" spans="1:9">
      <c r="A75" s="8" t="s">
        <v>245</v>
      </c>
      <c r="B75" s="9" t="s">
        <v>241</v>
      </c>
      <c r="C75" s="9" t="s">
        <v>242</v>
      </c>
      <c r="D75" s="9" t="s">
        <v>48</v>
      </c>
      <c r="E75" s="10" t="s">
        <v>49</v>
      </c>
      <c r="F75" s="9" t="s">
        <v>246</v>
      </c>
      <c r="G75" s="10" t="s">
        <v>247</v>
      </c>
      <c r="H75" s="9" t="s">
        <v>52</v>
      </c>
      <c r="I75" s="9"/>
    </row>
    <row r="76" spans="1:9">
      <c r="A76" s="8" t="s">
        <v>248</v>
      </c>
      <c r="B76" s="9" t="s">
        <v>241</v>
      </c>
      <c r="C76" s="9" t="s">
        <v>242</v>
      </c>
      <c r="D76" s="9" t="s">
        <v>48</v>
      </c>
      <c r="E76" s="10" t="s">
        <v>49</v>
      </c>
      <c r="F76" s="9" t="s">
        <v>249</v>
      </c>
      <c r="G76" s="10" t="s">
        <v>250</v>
      </c>
      <c r="H76" s="9" t="s">
        <v>52</v>
      </c>
      <c r="I76" s="9"/>
    </row>
    <row r="77" spans="1:9">
      <c r="A77" s="8" t="s">
        <v>251</v>
      </c>
      <c r="B77" s="9" t="s">
        <v>241</v>
      </c>
      <c r="C77" s="9" t="s">
        <v>242</v>
      </c>
      <c r="D77" s="9" t="s">
        <v>48</v>
      </c>
      <c r="E77" s="10" t="s">
        <v>49</v>
      </c>
      <c r="F77" s="9" t="s">
        <v>252</v>
      </c>
      <c r="G77" s="10" t="s">
        <v>253</v>
      </c>
      <c r="H77" s="9" t="s">
        <v>52</v>
      </c>
      <c r="I77" s="9"/>
    </row>
    <row r="78" spans="1:9">
      <c r="A78" s="8" t="s">
        <v>254</v>
      </c>
      <c r="B78" s="9" t="s">
        <v>241</v>
      </c>
      <c r="C78" s="9" t="s">
        <v>242</v>
      </c>
      <c r="D78" s="9" t="s">
        <v>48</v>
      </c>
      <c r="E78" s="10" t="s">
        <v>49</v>
      </c>
      <c r="F78" s="9" t="s">
        <v>65</v>
      </c>
      <c r="G78" s="10" t="s">
        <v>255</v>
      </c>
      <c r="H78" s="11" t="s">
        <v>67</v>
      </c>
      <c r="I78" s="9"/>
    </row>
    <row r="79" spans="1:9">
      <c r="A79" s="12" t="s">
        <v>256</v>
      </c>
      <c r="B79" s="13" t="s">
        <v>241</v>
      </c>
      <c r="C79" s="13" t="s">
        <v>242</v>
      </c>
      <c r="D79" s="13" t="s">
        <v>71</v>
      </c>
      <c r="E79" s="14" t="s">
        <v>72</v>
      </c>
      <c r="F79" s="13" t="s">
        <v>200</v>
      </c>
      <c r="G79" s="14" t="s">
        <v>257</v>
      </c>
      <c r="H79" s="13" t="s">
        <v>52</v>
      </c>
      <c r="I79" s="13"/>
    </row>
    <row r="80" spans="1:9">
      <c r="A80" s="12" t="s">
        <v>258</v>
      </c>
      <c r="B80" s="13" t="s">
        <v>241</v>
      </c>
      <c r="C80" s="13" t="s">
        <v>242</v>
      </c>
      <c r="D80" s="13" t="s">
        <v>71</v>
      </c>
      <c r="E80" s="14" t="s">
        <v>72</v>
      </c>
      <c r="F80" s="13" t="s">
        <v>73</v>
      </c>
      <c r="G80" s="14" t="s">
        <v>259</v>
      </c>
      <c r="H80" s="13" t="s">
        <v>52</v>
      </c>
      <c r="I80" s="13"/>
    </row>
    <row r="81" spans="1:9">
      <c r="A81" s="12" t="s">
        <v>260</v>
      </c>
      <c r="B81" s="13" t="s">
        <v>241</v>
      </c>
      <c r="C81" s="13" t="s">
        <v>242</v>
      </c>
      <c r="D81" s="13" t="s">
        <v>71</v>
      </c>
      <c r="E81" s="14" t="s">
        <v>72</v>
      </c>
      <c r="F81" s="13" t="s">
        <v>73</v>
      </c>
      <c r="G81" s="14" t="s">
        <v>261</v>
      </c>
      <c r="H81" s="13" t="s">
        <v>52</v>
      </c>
      <c r="I81" s="13"/>
    </row>
    <row r="82" spans="1:9">
      <c r="A82" s="12" t="s">
        <v>262</v>
      </c>
      <c r="B82" s="13" t="s">
        <v>241</v>
      </c>
      <c r="C82" s="13" t="s">
        <v>242</v>
      </c>
      <c r="D82" s="13" t="s">
        <v>71</v>
      </c>
      <c r="E82" s="14" t="s">
        <v>72</v>
      </c>
      <c r="F82" s="13" t="s">
        <v>263</v>
      </c>
      <c r="G82" s="14" t="s">
        <v>264</v>
      </c>
      <c r="H82" s="13" t="s">
        <v>52</v>
      </c>
      <c r="I82" s="13"/>
    </row>
    <row r="83" spans="1:9">
      <c r="A83" s="12" t="s">
        <v>265</v>
      </c>
      <c r="B83" s="13" t="s">
        <v>241</v>
      </c>
      <c r="C83" s="13" t="s">
        <v>242</v>
      </c>
      <c r="D83" s="13" t="s">
        <v>71</v>
      </c>
      <c r="E83" s="14" t="s">
        <v>72</v>
      </c>
      <c r="F83" s="13" t="s">
        <v>266</v>
      </c>
      <c r="G83" s="14" t="s">
        <v>267</v>
      </c>
      <c r="H83" s="13" t="s">
        <v>52</v>
      </c>
      <c r="I83" s="13"/>
    </row>
    <row r="84" spans="1:9">
      <c r="A84" s="12" t="s">
        <v>268</v>
      </c>
      <c r="B84" s="13" t="s">
        <v>241</v>
      </c>
      <c r="C84" s="13" t="s">
        <v>242</v>
      </c>
      <c r="D84" s="13" t="s">
        <v>71</v>
      </c>
      <c r="E84" s="14" t="s">
        <v>72</v>
      </c>
      <c r="F84" s="13" t="s">
        <v>219</v>
      </c>
      <c r="G84" s="14" t="s">
        <v>269</v>
      </c>
      <c r="H84" s="13" t="s">
        <v>52</v>
      </c>
      <c r="I84" s="13"/>
    </row>
    <row r="85" spans="1:9">
      <c r="A85" s="12" t="s">
        <v>270</v>
      </c>
      <c r="B85" s="13" t="s">
        <v>241</v>
      </c>
      <c r="C85" s="13" t="s">
        <v>242</v>
      </c>
      <c r="D85" s="13" t="s">
        <v>71</v>
      </c>
      <c r="E85" s="14" t="s">
        <v>72</v>
      </c>
      <c r="F85" s="13" t="s">
        <v>271</v>
      </c>
      <c r="G85" s="14" t="s">
        <v>272</v>
      </c>
      <c r="H85" s="13" t="s">
        <v>52</v>
      </c>
      <c r="I85" s="13"/>
    </row>
    <row r="86" spans="1:9">
      <c r="A86" s="12" t="s">
        <v>273</v>
      </c>
      <c r="B86" s="13" t="s">
        <v>241</v>
      </c>
      <c r="C86" s="13" t="s">
        <v>242</v>
      </c>
      <c r="D86" s="13" t="s">
        <v>71</v>
      </c>
      <c r="E86" s="14" t="s">
        <v>72</v>
      </c>
      <c r="F86" s="13" t="s">
        <v>274</v>
      </c>
      <c r="G86" s="14" t="s">
        <v>275</v>
      </c>
      <c r="H86" s="13" t="s">
        <v>52</v>
      </c>
      <c r="I86" s="13"/>
    </row>
    <row r="87" spans="1:9">
      <c r="A87" s="12" t="s">
        <v>276</v>
      </c>
      <c r="B87" s="13" t="s">
        <v>241</v>
      </c>
      <c r="C87" s="13" t="s">
        <v>242</v>
      </c>
      <c r="D87" s="13" t="s">
        <v>71</v>
      </c>
      <c r="E87" s="14" t="s">
        <v>72</v>
      </c>
      <c r="F87" s="13" t="s">
        <v>62</v>
      </c>
      <c r="G87" s="14" t="s">
        <v>277</v>
      </c>
      <c r="H87" s="13" t="s">
        <v>52</v>
      </c>
      <c r="I87" s="13"/>
    </row>
    <row r="88" spans="1:9">
      <c r="A88" s="12" t="s">
        <v>278</v>
      </c>
      <c r="B88" s="13" t="s">
        <v>241</v>
      </c>
      <c r="C88" s="13" t="s">
        <v>242</v>
      </c>
      <c r="D88" s="13" t="s">
        <v>71</v>
      </c>
      <c r="E88" s="14" t="s">
        <v>72</v>
      </c>
      <c r="F88" s="13" t="s">
        <v>212</v>
      </c>
      <c r="G88" s="14" t="s">
        <v>279</v>
      </c>
      <c r="H88" s="13" t="s">
        <v>52</v>
      </c>
      <c r="I88" s="13"/>
    </row>
    <row r="89" spans="1:9">
      <c r="A89" s="12" t="s">
        <v>280</v>
      </c>
      <c r="B89" s="13" t="s">
        <v>241</v>
      </c>
      <c r="C89" s="13" t="s">
        <v>242</v>
      </c>
      <c r="D89" s="13" t="s">
        <v>71</v>
      </c>
      <c r="E89" s="14" t="s">
        <v>72</v>
      </c>
      <c r="F89" s="13" t="s">
        <v>281</v>
      </c>
      <c r="G89" s="14" t="s">
        <v>282</v>
      </c>
      <c r="H89" s="13" t="s">
        <v>52</v>
      </c>
      <c r="I89" s="13"/>
    </row>
    <row r="90" spans="1:9">
      <c r="A90" s="16" t="s">
        <v>283</v>
      </c>
      <c r="B90" s="17" t="s">
        <v>241</v>
      </c>
      <c r="C90" s="17" t="s">
        <v>242</v>
      </c>
      <c r="D90" s="17" t="s">
        <v>103</v>
      </c>
      <c r="E90" s="18" t="s">
        <v>104</v>
      </c>
      <c r="F90" s="17" t="s">
        <v>284</v>
      </c>
      <c r="G90" s="18" t="s">
        <v>285</v>
      </c>
      <c r="H90" s="17" t="s">
        <v>52</v>
      </c>
      <c r="I90" s="17"/>
    </row>
    <row r="91" spans="1:9">
      <c r="A91" s="16" t="s">
        <v>286</v>
      </c>
      <c r="B91" s="17" t="s">
        <v>241</v>
      </c>
      <c r="C91" s="17" t="s">
        <v>242</v>
      </c>
      <c r="D91" s="17" t="s">
        <v>103</v>
      </c>
      <c r="E91" s="18" t="s">
        <v>104</v>
      </c>
      <c r="F91" s="17" t="s">
        <v>116</v>
      </c>
      <c r="G91" s="18" t="s">
        <v>287</v>
      </c>
      <c r="H91" s="19" t="s">
        <v>67</v>
      </c>
      <c r="I91" s="17"/>
    </row>
    <row r="92" spans="1:9">
      <c r="A92" s="16" t="s">
        <v>288</v>
      </c>
      <c r="B92" s="17" t="s">
        <v>241</v>
      </c>
      <c r="C92" s="17" t="s">
        <v>242</v>
      </c>
      <c r="D92" s="17" t="s">
        <v>103</v>
      </c>
      <c r="E92" s="18" t="s">
        <v>104</v>
      </c>
      <c r="F92" s="17" t="s">
        <v>126</v>
      </c>
      <c r="G92" s="18" t="s">
        <v>289</v>
      </c>
      <c r="H92" s="19" t="s">
        <v>67</v>
      </c>
      <c r="I92" s="17"/>
    </row>
    <row r="93" spans="1:9">
      <c r="A93" s="16" t="s">
        <v>290</v>
      </c>
      <c r="B93" s="17" t="s">
        <v>241</v>
      </c>
      <c r="C93" s="17" t="s">
        <v>242</v>
      </c>
      <c r="D93" s="17" t="s">
        <v>103</v>
      </c>
      <c r="E93" s="18" t="s">
        <v>104</v>
      </c>
      <c r="F93" s="17" t="s">
        <v>126</v>
      </c>
      <c r="G93" s="18" t="s">
        <v>291</v>
      </c>
      <c r="H93" s="19" t="s">
        <v>67</v>
      </c>
      <c r="I93" s="17"/>
    </row>
    <row r="94" spans="1:9">
      <c r="A94" s="16" t="s">
        <v>292</v>
      </c>
      <c r="B94" s="17" t="s">
        <v>241</v>
      </c>
      <c r="C94" s="17" t="s">
        <v>242</v>
      </c>
      <c r="D94" s="17" t="s">
        <v>103</v>
      </c>
      <c r="E94" s="18" t="s">
        <v>104</v>
      </c>
      <c r="F94" s="17" t="s">
        <v>293</v>
      </c>
      <c r="G94" s="18" t="s">
        <v>294</v>
      </c>
      <c r="H94" s="19" t="s">
        <v>67</v>
      </c>
      <c r="I94" s="17"/>
    </row>
    <row r="95" spans="1:9">
      <c r="A95" s="8" t="s">
        <v>295</v>
      </c>
      <c r="B95" s="9" t="s">
        <v>296</v>
      </c>
      <c r="C95" s="9" t="s">
        <v>297</v>
      </c>
      <c r="D95" s="9" t="s">
        <v>48</v>
      </c>
      <c r="E95" s="10" t="s">
        <v>49</v>
      </c>
      <c r="F95" s="9" t="s">
        <v>65</v>
      </c>
      <c r="G95" s="10" t="s">
        <v>298</v>
      </c>
      <c r="H95" s="9" t="s">
        <v>52</v>
      </c>
      <c r="I95" s="9"/>
    </row>
    <row r="96" spans="1:9">
      <c r="A96" s="8" t="s">
        <v>299</v>
      </c>
      <c r="B96" s="9" t="s">
        <v>296</v>
      </c>
      <c r="C96" s="9" t="s">
        <v>297</v>
      </c>
      <c r="D96" s="9" t="s">
        <v>48</v>
      </c>
      <c r="E96" s="10" t="s">
        <v>49</v>
      </c>
      <c r="F96" s="9" t="s">
        <v>300</v>
      </c>
      <c r="G96" s="10" t="s">
        <v>301</v>
      </c>
      <c r="H96" s="9" t="s">
        <v>52</v>
      </c>
      <c r="I96" s="9"/>
    </row>
    <row r="97" spans="1:9">
      <c r="A97" s="8" t="s">
        <v>302</v>
      </c>
      <c r="B97" s="9" t="s">
        <v>296</v>
      </c>
      <c r="C97" s="9" t="s">
        <v>297</v>
      </c>
      <c r="D97" s="9" t="s">
        <v>48</v>
      </c>
      <c r="E97" s="10" t="s">
        <v>49</v>
      </c>
      <c r="F97" s="9" t="s">
        <v>303</v>
      </c>
      <c r="G97" s="10" t="s">
        <v>304</v>
      </c>
      <c r="H97" s="9" t="s">
        <v>52</v>
      </c>
      <c r="I97" s="9"/>
    </row>
    <row r="98" spans="1:9">
      <c r="A98" s="8" t="s">
        <v>305</v>
      </c>
      <c r="B98" s="9" t="s">
        <v>296</v>
      </c>
      <c r="C98" s="9" t="s">
        <v>297</v>
      </c>
      <c r="D98" s="9" t="s">
        <v>48</v>
      </c>
      <c r="E98" s="10" t="s">
        <v>49</v>
      </c>
      <c r="F98" s="9" t="s">
        <v>306</v>
      </c>
      <c r="G98" s="10" t="s">
        <v>307</v>
      </c>
      <c r="H98" s="9" t="s">
        <v>52</v>
      </c>
      <c r="I98" s="9"/>
    </row>
    <row r="99" spans="1:9">
      <c r="A99" s="8" t="s">
        <v>308</v>
      </c>
      <c r="B99" s="9" t="s">
        <v>296</v>
      </c>
      <c r="C99" s="9" t="s">
        <v>297</v>
      </c>
      <c r="D99" s="9" t="s">
        <v>48</v>
      </c>
      <c r="E99" s="10" t="s">
        <v>49</v>
      </c>
      <c r="F99" s="9" t="s">
        <v>309</v>
      </c>
      <c r="G99" s="10" t="s">
        <v>310</v>
      </c>
      <c r="H99" s="9" t="s">
        <v>52</v>
      </c>
      <c r="I99" s="9"/>
    </row>
    <row r="100" spans="1:9">
      <c r="A100" s="12" t="s">
        <v>311</v>
      </c>
      <c r="B100" s="13" t="s">
        <v>296</v>
      </c>
      <c r="C100" s="13" t="s">
        <v>297</v>
      </c>
      <c r="D100" s="13" t="s">
        <v>71</v>
      </c>
      <c r="E100" s="14" t="s">
        <v>72</v>
      </c>
      <c r="F100" s="13" t="s">
        <v>156</v>
      </c>
      <c r="G100" s="14" t="s">
        <v>312</v>
      </c>
      <c r="H100" s="13" t="s">
        <v>52</v>
      </c>
      <c r="I100" s="13"/>
    </row>
    <row r="101" spans="1:9">
      <c r="A101" s="12" t="s">
        <v>313</v>
      </c>
      <c r="B101" s="13" t="s">
        <v>296</v>
      </c>
      <c r="C101" s="13" t="s">
        <v>297</v>
      </c>
      <c r="D101" s="13" t="s">
        <v>71</v>
      </c>
      <c r="E101" s="14" t="s">
        <v>72</v>
      </c>
      <c r="F101" s="13" t="s">
        <v>156</v>
      </c>
      <c r="G101" s="14" t="s">
        <v>314</v>
      </c>
      <c r="H101" s="13" t="s">
        <v>52</v>
      </c>
      <c r="I101" s="13"/>
    </row>
    <row r="102" spans="1:9">
      <c r="A102" s="12" t="s">
        <v>315</v>
      </c>
      <c r="B102" s="13" t="s">
        <v>296</v>
      </c>
      <c r="C102" s="13" t="s">
        <v>297</v>
      </c>
      <c r="D102" s="13" t="s">
        <v>71</v>
      </c>
      <c r="E102" s="14" t="s">
        <v>72</v>
      </c>
      <c r="F102" s="13" t="s">
        <v>316</v>
      </c>
      <c r="G102" s="14" t="s">
        <v>317</v>
      </c>
      <c r="H102" s="13" t="s">
        <v>52</v>
      </c>
      <c r="I102" s="13"/>
    </row>
    <row r="103" spans="1:9">
      <c r="A103" s="12" t="s">
        <v>318</v>
      </c>
      <c r="B103" s="13" t="s">
        <v>296</v>
      </c>
      <c r="C103" s="13" t="s">
        <v>297</v>
      </c>
      <c r="D103" s="13" t="s">
        <v>71</v>
      </c>
      <c r="E103" s="14" t="s">
        <v>72</v>
      </c>
      <c r="F103" s="13" t="s">
        <v>319</v>
      </c>
      <c r="G103" s="14" t="s">
        <v>320</v>
      </c>
      <c r="H103" s="13" t="s">
        <v>52</v>
      </c>
      <c r="I103" s="13"/>
    </row>
    <row r="104" spans="1:9">
      <c r="A104" s="12" t="s">
        <v>321</v>
      </c>
      <c r="B104" s="13" t="s">
        <v>296</v>
      </c>
      <c r="C104" s="13" t="s">
        <v>297</v>
      </c>
      <c r="D104" s="13" t="s">
        <v>71</v>
      </c>
      <c r="E104" s="14" t="s">
        <v>72</v>
      </c>
      <c r="F104" s="13" t="s">
        <v>322</v>
      </c>
      <c r="G104" s="14" t="s">
        <v>323</v>
      </c>
      <c r="H104" s="13" t="s">
        <v>52</v>
      </c>
      <c r="I104" s="13"/>
    </row>
    <row r="105" spans="1:9">
      <c r="A105" s="12" t="s">
        <v>324</v>
      </c>
      <c r="B105" s="13" t="s">
        <v>296</v>
      </c>
      <c r="C105" s="13" t="s">
        <v>297</v>
      </c>
      <c r="D105" s="13" t="s">
        <v>71</v>
      </c>
      <c r="E105" s="14" t="s">
        <v>72</v>
      </c>
      <c r="F105" s="13" t="s">
        <v>325</v>
      </c>
      <c r="G105" s="14" t="s">
        <v>326</v>
      </c>
      <c r="H105" s="13" t="s">
        <v>52</v>
      </c>
      <c r="I105" s="13"/>
    </row>
    <row r="106" spans="1:9">
      <c r="A106" s="12" t="s">
        <v>327</v>
      </c>
      <c r="B106" s="13" t="s">
        <v>296</v>
      </c>
      <c r="C106" s="13" t="s">
        <v>297</v>
      </c>
      <c r="D106" s="13" t="s">
        <v>71</v>
      </c>
      <c r="E106" s="14" t="s">
        <v>72</v>
      </c>
      <c r="F106" s="13" t="s">
        <v>328</v>
      </c>
      <c r="G106" s="14" t="s">
        <v>329</v>
      </c>
      <c r="H106" s="13" t="s">
        <v>52</v>
      </c>
      <c r="I106" s="13"/>
    </row>
    <row r="107" spans="1:9">
      <c r="A107" s="12" t="s">
        <v>330</v>
      </c>
      <c r="B107" s="13" t="s">
        <v>296</v>
      </c>
      <c r="C107" s="13" t="s">
        <v>297</v>
      </c>
      <c r="D107" s="13" t="s">
        <v>71</v>
      </c>
      <c r="E107" s="14" t="s">
        <v>72</v>
      </c>
      <c r="F107" s="13" t="s">
        <v>331</v>
      </c>
      <c r="G107" s="14" t="s">
        <v>332</v>
      </c>
      <c r="H107" s="13" t="s">
        <v>52</v>
      </c>
      <c r="I107" s="13"/>
    </row>
    <row r="108" spans="1:9">
      <c r="A108" s="12" t="s">
        <v>333</v>
      </c>
      <c r="B108" s="13" t="s">
        <v>296</v>
      </c>
      <c r="C108" s="13" t="s">
        <v>297</v>
      </c>
      <c r="D108" s="13" t="s">
        <v>71</v>
      </c>
      <c r="E108" s="14" t="s">
        <v>72</v>
      </c>
      <c r="F108" s="13" t="s">
        <v>334</v>
      </c>
      <c r="G108" s="14" t="s">
        <v>335</v>
      </c>
      <c r="H108" s="13" t="s">
        <v>52</v>
      </c>
      <c r="I108" s="13"/>
    </row>
    <row r="109" spans="1:9">
      <c r="A109" s="16" t="s">
        <v>336</v>
      </c>
      <c r="B109" s="17" t="s">
        <v>296</v>
      </c>
      <c r="C109" s="17" t="s">
        <v>297</v>
      </c>
      <c r="D109" s="17" t="s">
        <v>103</v>
      </c>
      <c r="E109" s="18" t="s">
        <v>104</v>
      </c>
      <c r="F109" s="17" t="s">
        <v>116</v>
      </c>
      <c r="G109" s="18" t="s">
        <v>337</v>
      </c>
      <c r="H109" s="17" t="s">
        <v>52</v>
      </c>
      <c r="I109" s="17"/>
    </row>
    <row r="110" spans="1:9">
      <c r="A110" s="16" t="s">
        <v>338</v>
      </c>
      <c r="B110" s="17" t="s">
        <v>296</v>
      </c>
      <c r="C110" s="17" t="s">
        <v>297</v>
      </c>
      <c r="D110" s="17" t="s">
        <v>103</v>
      </c>
      <c r="E110" s="18" t="s">
        <v>104</v>
      </c>
      <c r="F110" s="17" t="s">
        <v>116</v>
      </c>
      <c r="G110" s="18" t="s">
        <v>339</v>
      </c>
      <c r="H110" s="19" t="s">
        <v>67</v>
      </c>
      <c r="I110" s="17"/>
    </row>
    <row r="111" spans="1:9">
      <c r="A111" s="16" t="s">
        <v>340</v>
      </c>
      <c r="B111" s="17" t="s">
        <v>296</v>
      </c>
      <c r="C111" s="17" t="s">
        <v>297</v>
      </c>
      <c r="D111" s="17" t="s">
        <v>103</v>
      </c>
      <c r="E111" s="18" t="s">
        <v>104</v>
      </c>
      <c r="F111" s="17" t="s">
        <v>126</v>
      </c>
      <c r="G111" s="18" t="s">
        <v>341</v>
      </c>
      <c r="H111" s="19" t="s">
        <v>67</v>
      </c>
      <c r="I111" s="17"/>
    </row>
    <row r="112" spans="1:9">
      <c r="A112" s="16" t="s">
        <v>342</v>
      </c>
      <c r="B112" s="17" t="s">
        <v>296</v>
      </c>
      <c r="C112" s="17" t="s">
        <v>297</v>
      </c>
      <c r="D112" s="17" t="s">
        <v>103</v>
      </c>
      <c r="E112" s="18" t="s">
        <v>104</v>
      </c>
      <c r="F112" s="17" t="s">
        <v>343</v>
      </c>
      <c r="G112" s="18" t="s">
        <v>344</v>
      </c>
      <c r="H112" s="19" t="s">
        <v>67</v>
      </c>
      <c r="I112" s="17"/>
    </row>
    <row r="113" spans="1:9">
      <c r="A113" s="16" t="s">
        <v>345</v>
      </c>
      <c r="B113" s="17" t="s">
        <v>296</v>
      </c>
      <c r="C113" s="17" t="s">
        <v>297</v>
      </c>
      <c r="D113" s="17" t="s">
        <v>103</v>
      </c>
      <c r="E113" s="18" t="s">
        <v>104</v>
      </c>
      <c r="F113" s="17" t="s">
        <v>346</v>
      </c>
      <c r="G113" s="18" t="s">
        <v>347</v>
      </c>
      <c r="H113" s="19" t="s">
        <v>67</v>
      </c>
      <c r="I113" s="17"/>
    </row>
    <row r="114" spans="1:9">
      <c r="A114" s="8" t="s">
        <v>348</v>
      </c>
      <c r="B114" s="9" t="s">
        <v>349</v>
      </c>
      <c r="C114" s="9" t="s">
        <v>350</v>
      </c>
      <c r="D114" s="9" t="s">
        <v>48</v>
      </c>
      <c r="E114" s="10" t="s">
        <v>49</v>
      </c>
      <c r="F114" s="9" t="s">
        <v>351</v>
      </c>
      <c r="G114" s="10" t="s">
        <v>352</v>
      </c>
      <c r="H114" s="9" t="s">
        <v>52</v>
      </c>
      <c r="I114" s="9"/>
    </row>
    <row r="115" spans="1:9">
      <c r="A115" s="8" t="s">
        <v>353</v>
      </c>
      <c r="B115" s="9" t="s">
        <v>349</v>
      </c>
      <c r="C115" s="9" t="s">
        <v>350</v>
      </c>
      <c r="D115" s="9" t="s">
        <v>48</v>
      </c>
      <c r="E115" s="10" t="s">
        <v>49</v>
      </c>
      <c r="F115" s="9" t="s">
        <v>354</v>
      </c>
      <c r="G115" s="10" t="s">
        <v>355</v>
      </c>
      <c r="H115" s="9" t="s">
        <v>52</v>
      </c>
      <c r="I115" s="9"/>
    </row>
    <row r="116" spans="1:9">
      <c r="A116" s="8" t="s">
        <v>356</v>
      </c>
      <c r="B116" s="9" t="s">
        <v>349</v>
      </c>
      <c r="C116" s="9" t="s">
        <v>350</v>
      </c>
      <c r="D116" s="9" t="s">
        <v>48</v>
      </c>
      <c r="E116" s="10" t="s">
        <v>49</v>
      </c>
      <c r="F116" s="9" t="s">
        <v>357</v>
      </c>
      <c r="G116" s="10" t="s">
        <v>358</v>
      </c>
      <c r="H116" s="9" t="s">
        <v>52</v>
      </c>
      <c r="I116" s="9"/>
    </row>
    <row r="117" spans="1:9">
      <c r="A117" s="8" t="s">
        <v>359</v>
      </c>
      <c r="B117" s="9" t="s">
        <v>349</v>
      </c>
      <c r="C117" s="9" t="s">
        <v>350</v>
      </c>
      <c r="D117" s="9" t="s">
        <v>48</v>
      </c>
      <c r="E117" s="10" t="s">
        <v>49</v>
      </c>
      <c r="F117" s="9" t="s">
        <v>360</v>
      </c>
      <c r="G117" s="10" t="s">
        <v>361</v>
      </c>
      <c r="H117" s="9" t="s">
        <v>52</v>
      </c>
      <c r="I117" s="9"/>
    </row>
    <row r="118" spans="1:9">
      <c r="A118" s="8" t="s">
        <v>362</v>
      </c>
      <c r="B118" s="9" t="s">
        <v>349</v>
      </c>
      <c r="C118" s="9" t="s">
        <v>350</v>
      </c>
      <c r="D118" s="9" t="s">
        <v>48</v>
      </c>
      <c r="E118" s="10" t="s">
        <v>49</v>
      </c>
      <c r="F118" s="9" t="s">
        <v>363</v>
      </c>
      <c r="G118" s="10" t="s">
        <v>364</v>
      </c>
      <c r="H118" s="9" t="s">
        <v>52</v>
      </c>
      <c r="I118" s="9"/>
    </row>
    <row r="119" spans="1:9">
      <c r="A119" s="8" t="s">
        <v>365</v>
      </c>
      <c r="B119" s="9" t="s">
        <v>349</v>
      </c>
      <c r="C119" s="9" t="s">
        <v>350</v>
      </c>
      <c r="D119" s="9" t="s">
        <v>48</v>
      </c>
      <c r="E119" s="10" t="s">
        <v>49</v>
      </c>
      <c r="F119" s="9" t="s">
        <v>366</v>
      </c>
      <c r="G119" s="10" t="s">
        <v>367</v>
      </c>
      <c r="H119" s="9" t="s">
        <v>52</v>
      </c>
      <c r="I119" s="9"/>
    </row>
    <row r="120" spans="1:9">
      <c r="A120" s="12" t="s">
        <v>368</v>
      </c>
      <c r="B120" s="13" t="s">
        <v>349</v>
      </c>
      <c r="C120" s="13" t="s">
        <v>350</v>
      </c>
      <c r="D120" s="13" t="s">
        <v>71</v>
      </c>
      <c r="E120" s="14" t="s">
        <v>72</v>
      </c>
      <c r="F120" s="13" t="s">
        <v>156</v>
      </c>
      <c r="G120" s="14" t="s">
        <v>369</v>
      </c>
      <c r="H120" s="13" t="s">
        <v>52</v>
      </c>
      <c r="I120" s="13"/>
    </row>
    <row r="121" spans="1:9">
      <c r="A121" s="12" t="s">
        <v>370</v>
      </c>
      <c r="B121" s="13" t="s">
        <v>349</v>
      </c>
      <c r="C121" s="13" t="s">
        <v>350</v>
      </c>
      <c r="D121" s="13" t="s">
        <v>71</v>
      </c>
      <c r="E121" s="14" t="s">
        <v>72</v>
      </c>
      <c r="F121" s="13" t="s">
        <v>371</v>
      </c>
      <c r="G121" s="14" t="s">
        <v>372</v>
      </c>
      <c r="H121" s="13" t="s">
        <v>52</v>
      </c>
      <c r="I121" s="13"/>
    </row>
    <row r="122" spans="1:9">
      <c r="A122" s="12" t="s">
        <v>373</v>
      </c>
      <c r="B122" s="13" t="s">
        <v>349</v>
      </c>
      <c r="C122" s="13" t="s">
        <v>350</v>
      </c>
      <c r="D122" s="13" t="s">
        <v>71</v>
      </c>
      <c r="E122" s="14" t="s">
        <v>72</v>
      </c>
      <c r="F122" s="13" t="s">
        <v>374</v>
      </c>
      <c r="G122" s="14" t="s">
        <v>375</v>
      </c>
      <c r="H122" s="13" t="s">
        <v>52</v>
      </c>
      <c r="I122" s="13"/>
    </row>
    <row r="123" spans="1:9">
      <c r="A123" s="12" t="s">
        <v>376</v>
      </c>
      <c r="B123" s="13" t="s">
        <v>349</v>
      </c>
      <c r="C123" s="13" t="s">
        <v>350</v>
      </c>
      <c r="D123" s="13" t="s">
        <v>71</v>
      </c>
      <c r="E123" s="14" t="s">
        <v>72</v>
      </c>
      <c r="F123" s="13" t="s">
        <v>212</v>
      </c>
      <c r="G123" s="14" t="s">
        <v>377</v>
      </c>
      <c r="H123" s="13" t="s">
        <v>52</v>
      </c>
      <c r="I123" s="13"/>
    </row>
    <row r="124" spans="1:9">
      <c r="A124" s="12" t="s">
        <v>378</v>
      </c>
      <c r="B124" s="13" t="s">
        <v>349</v>
      </c>
      <c r="C124" s="13" t="s">
        <v>350</v>
      </c>
      <c r="D124" s="13" t="s">
        <v>71</v>
      </c>
      <c r="E124" s="14" t="s">
        <v>72</v>
      </c>
      <c r="F124" s="13" t="s">
        <v>379</v>
      </c>
      <c r="G124" s="14" t="s">
        <v>380</v>
      </c>
      <c r="H124" s="13" t="s">
        <v>52</v>
      </c>
      <c r="I124" s="13"/>
    </row>
    <row r="125" spans="1:9">
      <c r="A125" s="12" t="s">
        <v>381</v>
      </c>
      <c r="B125" s="13" t="s">
        <v>349</v>
      </c>
      <c r="C125" s="13" t="s">
        <v>350</v>
      </c>
      <c r="D125" s="13" t="s">
        <v>71</v>
      </c>
      <c r="E125" s="14" t="s">
        <v>72</v>
      </c>
      <c r="F125" s="13" t="s">
        <v>382</v>
      </c>
      <c r="G125" s="14" t="s">
        <v>383</v>
      </c>
      <c r="H125" s="13" t="s">
        <v>52</v>
      </c>
      <c r="I125" s="13"/>
    </row>
    <row r="126" spans="1:9">
      <c r="A126" s="12" t="s">
        <v>384</v>
      </c>
      <c r="B126" s="13" t="s">
        <v>349</v>
      </c>
      <c r="C126" s="13" t="s">
        <v>350</v>
      </c>
      <c r="D126" s="13" t="s">
        <v>71</v>
      </c>
      <c r="E126" s="14" t="s">
        <v>72</v>
      </c>
      <c r="F126" s="13" t="s">
        <v>385</v>
      </c>
      <c r="G126" s="14" t="s">
        <v>386</v>
      </c>
      <c r="H126" s="13" t="s">
        <v>52</v>
      </c>
      <c r="I126" s="13"/>
    </row>
    <row r="127" spans="1:9">
      <c r="A127" s="16" t="s">
        <v>387</v>
      </c>
      <c r="B127" s="17" t="s">
        <v>349</v>
      </c>
      <c r="C127" s="17" t="s">
        <v>350</v>
      </c>
      <c r="D127" s="17" t="s">
        <v>103</v>
      </c>
      <c r="E127" s="18" t="s">
        <v>104</v>
      </c>
      <c r="F127" s="17" t="s">
        <v>388</v>
      </c>
      <c r="G127" s="18" t="s">
        <v>389</v>
      </c>
      <c r="H127" s="17" t="s">
        <v>52</v>
      </c>
      <c r="I127" s="17"/>
    </row>
    <row r="128" spans="1:9">
      <c r="A128" s="16" t="s">
        <v>390</v>
      </c>
      <c r="B128" s="17" t="s">
        <v>349</v>
      </c>
      <c r="C128" s="17" t="s">
        <v>350</v>
      </c>
      <c r="D128" s="17" t="s">
        <v>103</v>
      </c>
      <c r="E128" s="18" t="s">
        <v>104</v>
      </c>
      <c r="F128" s="17" t="s">
        <v>391</v>
      </c>
      <c r="G128" s="18" t="s">
        <v>392</v>
      </c>
      <c r="H128" s="17" t="s">
        <v>52</v>
      </c>
      <c r="I128" s="17"/>
    </row>
    <row r="129" spans="1:9">
      <c r="A129" s="16" t="s">
        <v>393</v>
      </c>
      <c r="B129" s="17" t="s">
        <v>349</v>
      </c>
      <c r="C129" s="17" t="s">
        <v>350</v>
      </c>
      <c r="D129" s="17" t="s">
        <v>103</v>
      </c>
      <c r="E129" s="18" t="s">
        <v>104</v>
      </c>
      <c r="F129" s="17" t="s">
        <v>394</v>
      </c>
      <c r="G129" s="18" t="s">
        <v>395</v>
      </c>
      <c r="H129" s="19" t="s">
        <v>67</v>
      </c>
      <c r="I129" s="17"/>
    </row>
    <row r="130" spans="1:9">
      <c r="A130" s="16" t="s">
        <v>396</v>
      </c>
      <c r="B130" s="17" t="s">
        <v>349</v>
      </c>
      <c r="C130" s="17" t="s">
        <v>350</v>
      </c>
      <c r="D130" s="17" t="s">
        <v>103</v>
      </c>
      <c r="E130" s="18" t="s">
        <v>104</v>
      </c>
      <c r="F130" s="17" t="s">
        <v>126</v>
      </c>
      <c r="G130" s="18" t="s">
        <v>397</v>
      </c>
      <c r="H130" s="19" t="s">
        <v>67</v>
      </c>
      <c r="I130" s="17"/>
    </row>
    <row r="131" spans="1:9">
      <c r="A131" s="16" t="s">
        <v>398</v>
      </c>
      <c r="B131" s="17" t="s">
        <v>349</v>
      </c>
      <c r="C131" s="17" t="s">
        <v>350</v>
      </c>
      <c r="D131" s="17" t="s">
        <v>103</v>
      </c>
      <c r="E131" s="18" t="s">
        <v>104</v>
      </c>
      <c r="F131" s="17" t="s">
        <v>293</v>
      </c>
      <c r="G131" s="18" t="s">
        <v>399</v>
      </c>
      <c r="H131" s="19" t="s">
        <v>67</v>
      </c>
      <c r="I131" s="17"/>
    </row>
    <row r="132" spans="1:9">
      <c r="A132" s="8" t="s">
        <v>400</v>
      </c>
      <c r="B132" s="9" t="s">
        <v>401</v>
      </c>
      <c r="C132" s="9" t="s">
        <v>402</v>
      </c>
      <c r="D132" s="9" t="s">
        <v>48</v>
      </c>
      <c r="E132" s="10" t="s">
        <v>49</v>
      </c>
      <c r="F132" s="9" t="s">
        <v>403</v>
      </c>
      <c r="G132" s="10" t="s">
        <v>404</v>
      </c>
      <c r="H132" s="9" t="s">
        <v>52</v>
      </c>
      <c r="I132" s="9"/>
    </row>
    <row r="133" spans="1:9">
      <c r="A133" s="8" t="s">
        <v>405</v>
      </c>
      <c r="B133" s="9" t="s">
        <v>401</v>
      </c>
      <c r="C133" s="9" t="s">
        <v>402</v>
      </c>
      <c r="D133" s="9" t="s">
        <v>48</v>
      </c>
      <c r="E133" s="10" t="s">
        <v>49</v>
      </c>
      <c r="F133" s="9" t="s">
        <v>406</v>
      </c>
      <c r="G133" s="10" t="s">
        <v>407</v>
      </c>
      <c r="H133" s="9" t="s">
        <v>52</v>
      </c>
      <c r="I133" s="9"/>
    </row>
    <row r="134" spans="1:9">
      <c r="A134" s="8" t="s">
        <v>408</v>
      </c>
      <c r="B134" s="9" t="s">
        <v>401</v>
      </c>
      <c r="C134" s="9" t="s">
        <v>402</v>
      </c>
      <c r="D134" s="9" t="s">
        <v>48</v>
      </c>
      <c r="E134" s="10" t="s">
        <v>49</v>
      </c>
      <c r="F134" s="9" t="s">
        <v>409</v>
      </c>
      <c r="G134" s="10" t="s">
        <v>410</v>
      </c>
      <c r="H134" s="9" t="s">
        <v>52</v>
      </c>
      <c r="I134" s="9"/>
    </row>
    <row r="135" spans="1:9">
      <c r="A135" s="8" t="s">
        <v>411</v>
      </c>
      <c r="B135" s="9" t="s">
        <v>401</v>
      </c>
      <c r="C135" s="9" t="s">
        <v>402</v>
      </c>
      <c r="D135" s="9" t="s">
        <v>48</v>
      </c>
      <c r="E135" s="10" t="s">
        <v>49</v>
      </c>
      <c r="F135" s="9" t="s">
        <v>366</v>
      </c>
      <c r="G135" s="10" t="s">
        <v>412</v>
      </c>
      <c r="H135" s="9" t="s">
        <v>52</v>
      </c>
      <c r="I135" s="9"/>
    </row>
    <row r="136" spans="1:9">
      <c r="A136" s="12" t="s">
        <v>413</v>
      </c>
      <c r="B136" s="13" t="s">
        <v>401</v>
      </c>
      <c r="C136" s="13" t="s">
        <v>402</v>
      </c>
      <c r="D136" s="13" t="s">
        <v>71</v>
      </c>
      <c r="E136" s="14" t="s">
        <v>72</v>
      </c>
      <c r="F136" s="13" t="s">
        <v>414</v>
      </c>
      <c r="G136" s="14" t="s">
        <v>415</v>
      </c>
      <c r="H136" s="13" t="s">
        <v>52</v>
      </c>
      <c r="I136" s="13"/>
    </row>
    <row r="137" spans="1:9">
      <c r="A137" s="12" t="s">
        <v>416</v>
      </c>
      <c r="B137" s="13" t="s">
        <v>401</v>
      </c>
      <c r="C137" s="13" t="s">
        <v>402</v>
      </c>
      <c r="D137" s="13" t="s">
        <v>71</v>
      </c>
      <c r="E137" s="14" t="s">
        <v>72</v>
      </c>
      <c r="F137" s="13" t="s">
        <v>417</v>
      </c>
      <c r="G137" s="14" t="s">
        <v>418</v>
      </c>
      <c r="H137" s="13" t="s">
        <v>52</v>
      </c>
      <c r="I137" s="13"/>
    </row>
    <row r="138" spans="1:9">
      <c r="A138" s="12" t="s">
        <v>419</v>
      </c>
      <c r="B138" s="13" t="s">
        <v>401</v>
      </c>
      <c r="C138" s="13" t="s">
        <v>402</v>
      </c>
      <c r="D138" s="13" t="s">
        <v>71</v>
      </c>
      <c r="E138" s="14" t="s">
        <v>72</v>
      </c>
      <c r="F138" s="13" t="s">
        <v>420</v>
      </c>
      <c r="G138" s="14" t="s">
        <v>421</v>
      </c>
      <c r="H138" s="13" t="s">
        <v>52</v>
      </c>
      <c r="I138" s="13"/>
    </row>
    <row r="139" spans="1:9">
      <c r="A139" s="12" t="s">
        <v>422</v>
      </c>
      <c r="B139" s="13" t="s">
        <v>401</v>
      </c>
      <c r="C139" s="13" t="s">
        <v>402</v>
      </c>
      <c r="D139" s="13" t="s">
        <v>71</v>
      </c>
      <c r="E139" s="14" t="s">
        <v>72</v>
      </c>
      <c r="F139" s="13" t="s">
        <v>423</v>
      </c>
      <c r="G139" s="14" t="s">
        <v>424</v>
      </c>
      <c r="H139" s="13" t="s">
        <v>52</v>
      </c>
      <c r="I139" s="13"/>
    </row>
    <row r="140" spans="1:9">
      <c r="A140" s="12" t="s">
        <v>425</v>
      </c>
      <c r="B140" s="13" t="s">
        <v>401</v>
      </c>
      <c r="C140" s="13" t="s">
        <v>402</v>
      </c>
      <c r="D140" s="13" t="s">
        <v>71</v>
      </c>
      <c r="E140" s="14" t="s">
        <v>72</v>
      </c>
      <c r="F140" s="13" t="s">
        <v>73</v>
      </c>
      <c r="G140" s="14" t="s">
        <v>426</v>
      </c>
      <c r="H140" s="13" t="s">
        <v>52</v>
      </c>
      <c r="I140" s="13"/>
    </row>
    <row r="141" spans="1:9">
      <c r="A141" s="12" t="s">
        <v>427</v>
      </c>
      <c r="B141" s="13" t="s">
        <v>401</v>
      </c>
      <c r="C141" s="13" t="s">
        <v>402</v>
      </c>
      <c r="D141" s="13" t="s">
        <v>71</v>
      </c>
      <c r="E141" s="14" t="s">
        <v>72</v>
      </c>
      <c r="F141" s="13" t="s">
        <v>73</v>
      </c>
      <c r="G141" s="14" t="s">
        <v>428</v>
      </c>
      <c r="H141" s="13" t="s">
        <v>52</v>
      </c>
      <c r="I141" s="13"/>
    </row>
    <row r="142" spans="1:9">
      <c r="A142" s="12" t="s">
        <v>429</v>
      </c>
      <c r="B142" s="13" t="s">
        <v>401</v>
      </c>
      <c r="C142" s="13" t="s">
        <v>402</v>
      </c>
      <c r="D142" s="13" t="s">
        <v>71</v>
      </c>
      <c r="E142" s="14" t="s">
        <v>72</v>
      </c>
      <c r="F142" s="13" t="s">
        <v>388</v>
      </c>
      <c r="G142" s="14" t="s">
        <v>430</v>
      </c>
      <c r="H142" s="13" t="s">
        <v>52</v>
      </c>
      <c r="I142" s="13"/>
    </row>
    <row r="143" spans="1:9">
      <c r="A143" s="12" t="s">
        <v>431</v>
      </c>
      <c r="B143" s="13" t="s">
        <v>401</v>
      </c>
      <c r="C143" s="13" t="s">
        <v>402</v>
      </c>
      <c r="D143" s="13" t="s">
        <v>71</v>
      </c>
      <c r="E143" s="14" t="s">
        <v>72</v>
      </c>
      <c r="F143" s="13" t="s">
        <v>319</v>
      </c>
      <c r="G143" s="14" t="s">
        <v>432</v>
      </c>
      <c r="H143" s="13" t="s">
        <v>52</v>
      </c>
      <c r="I143" s="13"/>
    </row>
    <row r="144" spans="1:9">
      <c r="A144" s="16" t="s">
        <v>433</v>
      </c>
      <c r="B144" s="17" t="s">
        <v>401</v>
      </c>
      <c r="C144" s="17" t="s">
        <v>402</v>
      </c>
      <c r="D144" s="17" t="s">
        <v>103</v>
      </c>
      <c r="E144" s="18" t="s">
        <v>104</v>
      </c>
      <c r="F144" s="17" t="s">
        <v>116</v>
      </c>
      <c r="G144" s="18" t="s">
        <v>434</v>
      </c>
      <c r="H144" s="17" t="s">
        <v>52</v>
      </c>
      <c r="I144" s="17"/>
    </row>
    <row r="145" spans="1:9">
      <c r="A145" s="16" t="s">
        <v>435</v>
      </c>
      <c r="B145" s="17" t="s">
        <v>401</v>
      </c>
      <c r="C145" s="17" t="s">
        <v>402</v>
      </c>
      <c r="D145" s="17" t="s">
        <v>103</v>
      </c>
      <c r="E145" s="18" t="s">
        <v>104</v>
      </c>
      <c r="F145" s="17" t="s">
        <v>126</v>
      </c>
      <c r="G145" s="18" t="s">
        <v>436</v>
      </c>
      <c r="H145" s="19" t="s">
        <v>67</v>
      </c>
      <c r="I145" s="17"/>
    </row>
    <row r="146" spans="1:9">
      <c r="A146" s="16" t="s">
        <v>437</v>
      </c>
      <c r="B146" s="17" t="s">
        <v>401</v>
      </c>
      <c r="C146" s="17" t="s">
        <v>402</v>
      </c>
      <c r="D146" s="17" t="s">
        <v>103</v>
      </c>
      <c r="E146" s="18" t="s">
        <v>104</v>
      </c>
      <c r="F146" s="17" t="s">
        <v>293</v>
      </c>
      <c r="G146" s="18" t="s">
        <v>438</v>
      </c>
      <c r="H146" s="19" t="s">
        <v>67</v>
      </c>
      <c r="I146" s="17"/>
    </row>
    <row r="147" spans="1:9">
      <c r="A147" s="16" t="s">
        <v>439</v>
      </c>
      <c r="B147" s="17" t="s">
        <v>401</v>
      </c>
      <c r="C147" s="17" t="s">
        <v>402</v>
      </c>
      <c r="D147" s="17" t="s">
        <v>103</v>
      </c>
      <c r="E147" s="18" t="s">
        <v>104</v>
      </c>
      <c r="F147" s="17" t="s">
        <v>126</v>
      </c>
      <c r="G147" s="18" t="s">
        <v>440</v>
      </c>
      <c r="H147" s="19" t="s">
        <v>67</v>
      </c>
      <c r="I147" s="17"/>
    </row>
    <row r="148" spans="1:9">
      <c r="A148" s="16" t="s">
        <v>441</v>
      </c>
      <c r="B148" s="17" t="s">
        <v>401</v>
      </c>
      <c r="C148" s="17" t="s">
        <v>402</v>
      </c>
      <c r="D148" s="17" t="s">
        <v>103</v>
      </c>
      <c r="E148" s="18" t="s">
        <v>104</v>
      </c>
      <c r="F148" s="17" t="s">
        <v>442</v>
      </c>
      <c r="G148" s="18" t="s">
        <v>443</v>
      </c>
      <c r="H148" s="19" t="s">
        <v>67</v>
      </c>
      <c r="I148" s="17"/>
    </row>
    <row r="149" spans="1:9">
      <c r="A149" s="8" t="s">
        <v>444</v>
      </c>
      <c r="B149" s="9" t="s">
        <v>445</v>
      </c>
      <c r="C149" s="9" t="s">
        <v>446</v>
      </c>
      <c r="D149" s="9" t="s">
        <v>48</v>
      </c>
      <c r="E149" s="10" t="s">
        <v>49</v>
      </c>
      <c r="F149" s="9" t="s">
        <v>447</v>
      </c>
      <c r="G149" s="10" t="s">
        <v>448</v>
      </c>
      <c r="H149" s="9" t="s">
        <v>52</v>
      </c>
      <c r="I149" s="9"/>
    </row>
    <row r="150" spans="1:9">
      <c r="A150" s="8" t="s">
        <v>449</v>
      </c>
      <c r="B150" s="9" t="s">
        <v>445</v>
      </c>
      <c r="C150" s="9" t="s">
        <v>446</v>
      </c>
      <c r="D150" s="9" t="s">
        <v>48</v>
      </c>
      <c r="E150" s="10" t="s">
        <v>49</v>
      </c>
      <c r="F150" s="9" t="s">
        <v>450</v>
      </c>
      <c r="G150" s="10" t="s">
        <v>451</v>
      </c>
      <c r="H150" s="9" t="s">
        <v>52</v>
      </c>
      <c r="I150" s="9"/>
    </row>
    <row r="151" spans="1:9">
      <c r="A151" s="8" t="s">
        <v>452</v>
      </c>
      <c r="B151" s="9" t="s">
        <v>445</v>
      </c>
      <c r="C151" s="9" t="s">
        <v>446</v>
      </c>
      <c r="D151" s="9" t="s">
        <v>48</v>
      </c>
      <c r="E151" s="10" t="s">
        <v>49</v>
      </c>
      <c r="F151" s="9" t="s">
        <v>453</v>
      </c>
      <c r="G151" s="10" t="s">
        <v>454</v>
      </c>
      <c r="H151" s="9" t="s">
        <v>52</v>
      </c>
      <c r="I151" s="9"/>
    </row>
    <row r="152" spans="1:9">
      <c r="A152" s="8" t="s">
        <v>455</v>
      </c>
      <c r="B152" s="9" t="s">
        <v>445</v>
      </c>
      <c r="C152" s="9" t="s">
        <v>446</v>
      </c>
      <c r="D152" s="9" t="s">
        <v>48</v>
      </c>
      <c r="E152" s="10" t="s">
        <v>49</v>
      </c>
      <c r="F152" s="9" t="s">
        <v>190</v>
      </c>
      <c r="G152" s="10" t="s">
        <v>456</v>
      </c>
      <c r="H152" s="9" t="s">
        <v>52</v>
      </c>
      <c r="I152" s="9"/>
    </row>
    <row r="153" spans="1:9">
      <c r="A153" s="12" t="s">
        <v>457</v>
      </c>
      <c r="B153" s="13" t="s">
        <v>445</v>
      </c>
      <c r="C153" s="13" t="s">
        <v>446</v>
      </c>
      <c r="D153" s="13" t="s">
        <v>71</v>
      </c>
      <c r="E153" s="14" t="s">
        <v>72</v>
      </c>
      <c r="F153" s="13" t="s">
        <v>417</v>
      </c>
      <c r="G153" s="14" t="s">
        <v>458</v>
      </c>
      <c r="H153" s="13" t="s">
        <v>52</v>
      </c>
      <c r="I153" s="13"/>
    </row>
    <row r="154" spans="1:9">
      <c r="A154" s="12" t="s">
        <v>459</v>
      </c>
      <c r="B154" s="13" t="s">
        <v>445</v>
      </c>
      <c r="C154" s="13" t="s">
        <v>446</v>
      </c>
      <c r="D154" s="13" t="s">
        <v>71</v>
      </c>
      <c r="E154" s="14" t="s">
        <v>72</v>
      </c>
      <c r="F154" s="13" t="s">
        <v>460</v>
      </c>
      <c r="G154" s="14" t="s">
        <v>461</v>
      </c>
      <c r="H154" s="13" t="s">
        <v>52</v>
      </c>
      <c r="I154" s="13"/>
    </row>
    <row r="155" spans="1:9">
      <c r="A155" s="12" t="s">
        <v>462</v>
      </c>
      <c r="B155" s="13" t="s">
        <v>445</v>
      </c>
      <c r="C155" s="13" t="s">
        <v>446</v>
      </c>
      <c r="D155" s="13" t="s">
        <v>71</v>
      </c>
      <c r="E155" s="14" t="s">
        <v>72</v>
      </c>
      <c r="F155" s="13" t="s">
        <v>463</v>
      </c>
      <c r="G155" s="14" t="s">
        <v>464</v>
      </c>
      <c r="H155" s="13" t="s">
        <v>52</v>
      </c>
      <c r="I155" s="13"/>
    </row>
    <row r="156" spans="1:9">
      <c r="A156" s="12" t="s">
        <v>465</v>
      </c>
      <c r="B156" s="13" t="s">
        <v>445</v>
      </c>
      <c r="C156" s="13" t="s">
        <v>446</v>
      </c>
      <c r="D156" s="13" t="s">
        <v>71</v>
      </c>
      <c r="E156" s="14" t="s">
        <v>72</v>
      </c>
      <c r="F156" s="13" t="s">
        <v>466</v>
      </c>
      <c r="G156" s="14" t="s">
        <v>467</v>
      </c>
      <c r="H156" s="13" t="s">
        <v>52</v>
      </c>
      <c r="I156" s="13"/>
    </row>
    <row r="157" spans="1:9">
      <c r="A157" s="12" t="s">
        <v>468</v>
      </c>
      <c r="B157" s="13" t="s">
        <v>445</v>
      </c>
      <c r="C157" s="13" t="s">
        <v>446</v>
      </c>
      <c r="D157" s="13" t="s">
        <v>71</v>
      </c>
      <c r="E157" s="14" t="s">
        <v>72</v>
      </c>
      <c r="F157" s="13" t="s">
        <v>73</v>
      </c>
      <c r="G157" s="14" t="s">
        <v>469</v>
      </c>
      <c r="H157" s="13" t="s">
        <v>52</v>
      </c>
      <c r="I157" s="13"/>
    </row>
    <row r="158" spans="1:9">
      <c r="A158" s="12" t="s">
        <v>470</v>
      </c>
      <c r="B158" s="13" t="s">
        <v>445</v>
      </c>
      <c r="C158" s="13" t="s">
        <v>446</v>
      </c>
      <c r="D158" s="13" t="s">
        <v>71</v>
      </c>
      <c r="E158" s="14" t="s">
        <v>72</v>
      </c>
      <c r="F158" s="13" t="s">
        <v>471</v>
      </c>
      <c r="G158" s="14" t="s">
        <v>472</v>
      </c>
      <c r="H158" s="13" t="s">
        <v>52</v>
      </c>
      <c r="I158" s="13"/>
    </row>
    <row r="159" spans="1:9">
      <c r="A159" s="16" t="s">
        <v>473</v>
      </c>
      <c r="B159" s="17" t="s">
        <v>445</v>
      </c>
      <c r="C159" s="17" t="s">
        <v>446</v>
      </c>
      <c r="D159" s="17" t="s">
        <v>103</v>
      </c>
      <c r="E159" s="18" t="s">
        <v>104</v>
      </c>
      <c r="F159" s="17" t="s">
        <v>471</v>
      </c>
      <c r="G159" s="18" t="s">
        <v>474</v>
      </c>
      <c r="H159" s="17" t="s">
        <v>52</v>
      </c>
      <c r="I159" s="17"/>
    </row>
    <row r="160" spans="1:9">
      <c r="A160" s="16" t="s">
        <v>475</v>
      </c>
      <c r="B160" s="17" t="s">
        <v>445</v>
      </c>
      <c r="C160" s="17" t="s">
        <v>446</v>
      </c>
      <c r="D160" s="17" t="s">
        <v>103</v>
      </c>
      <c r="E160" s="18" t="s">
        <v>104</v>
      </c>
      <c r="F160" s="17" t="s">
        <v>471</v>
      </c>
      <c r="G160" s="18" t="s">
        <v>476</v>
      </c>
      <c r="H160" s="17" t="s">
        <v>52</v>
      </c>
      <c r="I160" s="17"/>
    </row>
    <row r="161" spans="1:9">
      <c r="A161" s="16" t="s">
        <v>477</v>
      </c>
      <c r="B161" s="17" t="s">
        <v>445</v>
      </c>
      <c r="C161" s="17" t="s">
        <v>446</v>
      </c>
      <c r="D161" s="17" t="s">
        <v>103</v>
      </c>
      <c r="E161" s="18" t="s">
        <v>104</v>
      </c>
      <c r="F161" s="17" t="s">
        <v>478</v>
      </c>
      <c r="G161" s="18" t="s">
        <v>479</v>
      </c>
      <c r="H161" s="17" t="s">
        <v>52</v>
      </c>
      <c r="I161" s="17"/>
    </row>
    <row r="162" spans="1:9">
      <c r="A162" s="16" t="s">
        <v>480</v>
      </c>
      <c r="B162" s="17" t="s">
        <v>445</v>
      </c>
      <c r="C162" s="17" t="s">
        <v>446</v>
      </c>
      <c r="D162" s="17" t="s">
        <v>103</v>
      </c>
      <c r="E162" s="18" t="s">
        <v>104</v>
      </c>
      <c r="F162" s="17" t="s">
        <v>90</v>
      </c>
      <c r="G162" s="18" t="s">
        <v>481</v>
      </c>
      <c r="H162" s="17" t="s">
        <v>52</v>
      </c>
      <c r="I162" s="17"/>
    </row>
    <row r="163" spans="1:9">
      <c r="A163" s="16" t="s">
        <v>482</v>
      </c>
      <c r="B163" s="17" t="s">
        <v>445</v>
      </c>
      <c r="C163" s="17" t="s">
        <v>446</v>
      </c>
      <c r="D163" s="17" t="s">
        <v>103</v>
      </c>
      <c r="E163" s="18" t="s">
        <v>104</v>
      </c>
      <c r="F163" s="17" t="s">
        <v>126</v>
      </c>
      <c r="G163" s="18" t="s">
        <v>483</v>
      </c>
      <c r="H163" s="19" t="s">
        <v>67</v>
      </c>
      <c r="I163" s="17"/>
    </row>
    <row r="164" spans="1:9">
      <c r="A164" s="16" t="s">
        <v>484</v>
      </c>
      <c r="B164" s="17" t="s">
        <v>445</v>
      </c>
      <c r="C164" s="17" t="s">
        <v>446</v>
      </c>
      <c r="D164" s="17" t="s">
        <v>103</v>
      </c>
      <c r="E164" s="18" t="s">
        <v>104</v>
      </c>
      <c r="F164" s="17" t="s">
        <v>293</v>
      </c>
      <c r="G164" s="18" t="s">
        <v>485</v>
      </c>
      <c r="H164" s="19" t="s">
        <v>67</v>
      </c>
      <c r="I164" s="17"/>
    </row>
    <row r="165" spans="1:9">
      <c r="A165" s="16" t="s">
        <v>486</v>
      </c>
      <c r="B165" s="17" t="s">
        <v>445</v>
      </c>
      <c r="C165" s="17" t="s">
        <v>446</v>
      </c>
      <c r="D165" s="17" t="s">
        <v>103</v>
      </c>
      <c r="E165" s="18" t="s">
        <v>104</v>
      </c>
      <c r="F165" s="17" t="s">
        <v>126</v>
      </c>
      <c r="G165" s="18" t="s">
        <v>487</v>
      </c>
      <c r="H165" s="19" t="s">
        <v>67</v>
      </c>
      <c r="I165" s="17"/>
    </row>
    <row r="166" spans="1:9">
      <c r="A166" s="8" t="s">
        <v>488</v>
      </c>
      <c r="B166" s="9" t="s">
        <v>489</v>
      </c>
      <c r="C166" s="9" t="s">
        <v>490</v>
      </c>
      <c r="D166" s="9" t="s">
        <v>48</v>
      </c>
      <c r="E166" s="10" t="s">
        <v>49</v>
      </c>
      <c r="F166" s="9" t="s">
        <v>491</v>
      </c>
      <c r="G166" s="10" t="s">
        <v>492</v>
      </c>
      <c r="H166" s="9" t="s">
        <v>52</v>
      </c>
      <c r="I166" s="9"/>
    </row>
    <row r="167" spans="1:9">
      <c r="A167" s="8" t="s">
        <v>493</v>
      </c>
      <c r="B167" s="9" t="s">
        <v>489</v>
      </c>
      <c r="C167" s="9" t="s">
        <v>490</v>
      </c>
      <c r="D167" s="9" t="s">
        <v>48</v>
      </c>
      <c r="E167" s="10" t="s">
        <v>49</v>
      </c>
      <c r="F167" s="9" t="s">
        <v>494</v>
      </c>
      <c r="G167" s="10" t="s">
        <v>495</v>
      </c>
      <c r="H167" s="9" t="s">
        <v>52</v>
      </c>
      <c r="I167" s="9"/>
    </row>
    <row r="168" spans="1:9">
      <c r="A168" s="8" t="s">
        <v>496</v>
      </c>
      <c r="B168" s="9" t="s">
        <v>489</v>
      </c>
      <c r="C168" s="9" t="s">
        <v>490</v>
      </c>
      <c r="D168" s="9" t="s">
        <v>48</v>
      </c>
      <c r="E168" s="10" t="s">
        <v>49</v>
      </c>
      <c r="F168" s="9" t="s">
        <v>497</v>
      </c>
      <c r="G168" s="10" t="s">
        <v>498</v>
      </c>
      <c r="H168" s="9" t="s">
        <v>52</v>
      </c>
      <c r="I168" s="9"/>
    </row>
    <row r="169" spans="1:9">
      <c r="A169" s="12" t="s">
        <v>499</v>
      </c>
      <c r="B169" s="13" t="s">
        <v>489</v>
      </c>
      <c r="C169" s="13" t="s">
        <v>490</v>
      </c>
      <c r="D169" s="13" t="s">
        <v>71</v>
      </c>
      <c r="E169" s="14" t="s">
        <v>72</v>
      </c>
      <c r="F169" s="13" t="s">
        <v>500</v>
      </c>
      <c r="G169" s="14" t="s">
        <v>501</v>
      </c>
      <c r="H169" s="13" t="s">
        <v>52</v>
      </c>
      <c r="I169" s="13"/>
    </row>
    <row r="170" spans="1:9">
      <c r="A170" s="12" t="s">
        <v>502</v>
      </c>
      <c r="B170" s="13" t="s">
        <v>489</v>
      </c>
      <c r="C170" s="13" t="s">
        <v>490</v>
      </c>
      <c r="D170" s="13" t="s">
        <v>71</v>
      </c>
      <c r="E170" s="14" t="s">
        <v>72</v>
      </c>
      <c r="F170" s="13" t="s">
        <v>503</v>
      </c>
      <c r="G170" s="14" t="s">
        <v>504</v>
      </c>
      <c r="H170" s="13" t="s">
        <v>52</v>
      </c>
      <c r="I170" s="13"/>
    </row>
    <row r="171" spans="1:9">
      <c r="A171" s="12" t="s">
        <v>505</v>
      </c>
      <c r="B171" s="13" t="s">
        <v>489</v>
      </c>
      <c r="C171" s="13" t="s">
        <v>490</v>
      </c>
      <c r="D171" s="13" t="s">
        <v>71</v>
      </c>
      <c r="E171" s="14" t="s">
        <v>72</v>
      </c>
      <c r="F171" s="13" t="s">
        <v>506</v>
      </c>
      <c r="G171" s="14" t="s">
        <v>507</v>
      </c>
      <c r="H171" s="13" t="s">
        <v>52</v>
      </c>
      <c r="I171" s="13"/>
    </row>
    <row r="172" spans="1:9">
      <c r="A172" s="12" t="s">
        <v>508</v>
      </c>
      <c r="B172" s="13" t="s">
        <v>489</v>
      </c>
      <c r="C172" s="13" t="s">
        <v>490</v>
      </c>
      <c r="D172" s="13" t="s">
        <v>71</v>
      </c>
      <c r="E172" s="14" t="s">
        <v>72</v>
      </c>
      <c r="F172" s="13" t="s">
        <v>509</v>
      </c>
      <c r="G172" s="14" t="s">
        <v>510</v>
      </c>
      <c r="H172" s="13" t="s">
        <v>52</v>
      </c>
      <c r="I172" s="13"/>
    </row>
    <row r="173" spans="1:9">
      <c r="A173" s="12" t="s">
        <v>511</v>
      </c>
      <c r="B173" s="13" t="s">
        <v>489</v>
      </c>
      <c r="C173" s="13" t="s">
        <v>490</v>
      </c>
      <c r="D173" s="13" t="s">
        <v>71</v>
      </c>
      <c r="E173" s="14" t="s">
        <v>72</v>
      </c>
      <c r="F173" s="13" t="s">
        <v>509</v>
      </c>
      <c r="G173" s="14" t="s">
        <v>512</v>
      </c>
      <c r="H173" s="13" t="s">
        <v>52</v>
      </c>
      <c r="I173" s="13"/>
    </row>
    <row r="174" spans="1:9">
      <c r="A174" s="12" t="s">
        <v>513</v>
      </c>
      <c r="B174" s="13" t="s">
        <v>489</v>
      </c>
      <c r="C174" s="13" t="s">
        <v>490</v>
      </c>
      <c r="D174" s="13" t="s">
        <v>71</v>
      </c>
      <c r="E174" s="14" t="s">
        <v>72</v>
      </c>
      <c r="F174" s="13" t="s">
        <v>514</v>
      </c>
      <c r="G174" s="14" t="s">
        <v>515</v>
      </c>
      <c r="H174" s="13" t="s">
        <v>52</v>
      </c>
      <c r="I174" s="13"/>
    </row>
    <row r="175" spans="1:9">
      <c r="A175" s="16" t="s">
        <v>516</v>
      </c>
      <c r="B175" s="17" t="s">
        <v>489</v>
      </c>
      <c r="C175" s="17" t="s">
        <v>490</v>
      </c>
      <c r="D175" s="17" t="s">
        <v>103</v>
      </c>
      <c r="E175" s="18" t="s">
        <v>104</v>
      </c>
      <c r="F175" s="17" t="s">
        <v>517</v>
      </c>
      <c r="G175" s="18" t="s">
        <v>518</v>
      </c>
      <c r="H175" s="17" t="s">
        <v>52</v>
      </c>
      <c r="I175" s="17"/>
    </row>
    <row r="176" spans="1:9">
      <c r="A176" s="16" t="s">
        <v>519</v>
      </c>
      <c r="B176" s="17" t="s">
        <v>489</v>
      </c>
      <c r="C176" s="17" t="s">
        <v>490</v>
      </c>
      <c r="D176" s="17" t="s">
        <v>103</v>
      </c>
      <c r="E176" s="18" t="s">
        <v>104</v>
      </c>
      <c r="F176" s="17" t="s">
        <v>73</v>
      </c>
      <c r="G176" s="18" t="s">
        <v>520</v>
      </c>
      <c r="H176" s="17" t="s">
        <v>52</v>
      </c>
      <c r="I176" s="17"/>
    </row>
    <row r="177" spans="1:9">
      <c r="A177" s="16" t="s">
        <v>521</v>
      </c>
      <c r="B177" s="17" t="s">
        <v>489</v>
      </c>
      <c r="C177" s="17" t="s">
        <v>490</v>
      </c>
      <c r="D177" s="17" t="s">
        <v>103</v>
      </c>
      <c r="E177" s="18" t="s">
        <v>104</v>
      </c>
      <c r="F177" s="17" t="s">
        <v>126</v>
      </c>
      <c r="G177" s="18" t="s">
        <v>522</v>
      </c>
      <c r="H177" s="19" t="s">
        <v>67</v>
      </c>
      <c r="I177" s="17"/>
    </row>
    <row r="178" spans="1:9">
      <c r="A178" s="16" t="s">
        <v>523</v>
      </c>
      <c r="B178" s="17" t="s">
        <v>489</v>
      </c>
      <c r="C178" s="17" t="s">
        <v>490</v>
      </c>
      <c r="D178" s="17" t="s">
        <v>103</v>
      </c>
      <c r="E178" s="18" t="s">
        <v>104</v>
      </c>
      <c r="F178" s="17" t="s">
        <v>524</v>
      </c>
      <c r="G178" s="18" t="s">
        <v>525</v>
      </c>
      <c r="H178" s="19" t="s">
        <v>67</v>
      </c>
      <c r="I178" s="17"/>
    </row>
    <row r="179" spans="1:9">
      <c r="A179" s="16" t="s">
        <v>526</v>
      </c>
      <c r="B179" s="17" t="s">
        <v>489</v>
      </c>
      <c r="C179" s="17" t="s">
        <v>490</v>
      </c>
      <c r="D179" s="17" t="s">
        <v>103</v>
      </c>
      <c r="E179" s="18" t="s">
        <v>104</v>
      </c>
      <c r="F179" s="17" t="s">
        <v>527</v>
      </c>
      <c r="G179" s="18" t="s">
        <v>528</v>
      </c>
      <c r="H179" s="19" t="s">
        <v>67</v>
      </c>
      <c r="I179" s="17"/>
    </row>
    <row r="180" spans="1:9">
      <c r="A180" s="8" t="s">
        <v>529</v>
      </c>
      <c r="B180" s="9" t="s">
        <v>530</v>
      </c>
      <c r="C180" s="9" t="s">
        <v>531</v>
      </c>
      <c r="D180" s="9" t="s">
        <v>48</v>
      </c>
      <c r="E180" s="10" t="s">
        <v>49</v>
      </c>
      <c r="F180" s="9" t="s">
        <v>113</v>
      </c>
      <c r="G180" s="10" t="s">
        <v>532</v>
      </c>
      <c r="H180" s="9" t="s">
        <v>52</v>
      </c>
      <c r="I180" s="9"/>
    </row>
    <row r="181" spans="1:9">
      <c r="A181" s="8" t="s">
        <v>533</v>
      </c>
      <c r="B181" s="9" t="s">
        <v>530</v>
      </c>
      <c r="C181" s="9" t="s">
        <v>531</v>
      </c>
      <c r="D181" s="9" t="s">
        <v>48</v>
      </c>
      <c r="E181" s="10" t="s">
        <v>49</v>
      </c>
      <c r="F181" s="9" t="s">
        <v>534</v>
      </c>
      <c r="G181" s="10" t="s">
        <v>535</v>
      </c>
      <c r="H181" s="9" t="s">
        <v>52</v>
      </c>
      <c r="I181" s="9"/>
    </row>
    <row r="182" spans="1:9">
      <c r="A182" s="8" t="s">
        <v>536</v>
      </c>
      <c r="B182" s="9" t="s">
        <v>530</v>
      </c>
      <c r="C182" s="9" t="s">
        <v>531</v>
      </c>
      <c r="D182" s="9" t="s">
        <v>48</v>
      </c>
      <c r="E182" s="10" t="s">
        <v>49</v>
      </c>
      <c r="F182" s="9" t="s">
        <v>537</v>
      </c>
      <c r="G182" s="10" t="s">
        <v>538</v>
      </c>
      <c r="H182" s="9" t="s">
        <v>52</v>
      </c>
      <c r="I182" s="9"/>
    </row>
    <row r="183" spans="1:9">
      <c r="A183" s="8" t="s">
        <v>539</v>
      </c>
      <c r="B183" s="9" t="s">
        <v>530</v>
      </c>
      <c r="C183" s="9" t="s">
        <v>531</v>
      </c>
      <c r="D183" s="9" t="s">
        <v>48</v>
      </c>
      <c r="E183" s="10" t="s">
        <v>49</v>
      </c>
      <c r="F183" s="9" t="s">
        <v>540</v>
      </c>
      <c r="G183" s="10" t="s">
        <v>541</v>
      </c>
      <c r="H183" s="9" t="s">
        <v>52</v>
      </c>
      <c r="I183" s="9"/>
    </row>
    <row r="184" spans="1:9">
      <c r="A184" s="12" t="s">
        <v>542</v>
      </c>
      <c r="B184" s="13" t="s">
        <v>530</v>
      </c>
      <c r="C184" s="13" t="s">
        <v>531</v>
      </c>
      <c r="D184" s="13" t="s">
        <v>71</v>
      </c>
      <c r="E184" s="14" t="s">
        <v>72</v>
      </c>
      <c r="F184" s="13" t="s">
        <v>543</v>
      </c>
      <c r="G184" s="14" t="s">
        <v>544</v>
      </c>
      <c r="H184" s="13" t="s">
        <v>52</v>
      </c>
      <c r="I184" s="13"/>
    </row>
    <row r="185" spans="1:9">
      <c r="A185" s="12" t="s">
        <v>545</v>
      </c>
      <c r="B185" s="13" t="s">
        <v>530</v>
      </c>
      <c r="C185" s="13" t="s">
        <v>531</v>
      </c>
      <c r="D185" s="13" t="s">
        <v>71</v>
      </c>
      <c r="E185" s="14" t="s">
        <v>72</v>
      </c>
      <c r="F185" s="13" t="s">
        <v>546</v>
      </c>
      <c r="G185" s="14" t="s">
        <v>547</v>
      </c>
      <c r="H185" s="13" t="s">
        <v>52</v>
      </c>
      <c r="I185" s="13"/>
    </row>
    <row r="186" spans="1:9">
      <c r="A186" s="12" t="s">
        <v>548</v>
      </c>
      <c r="B186" s="13" t="s">
        <v>530</v>
      </c>
      <c r="C186" s="13" t="s">
        <v>531</v>
      </c>
      <c r="D186" s="13" t="s">
        <v>71</v>
      </c>
      <c r="E186" s="14" t="s">
        <v>72</v>
      </c>
      <c r="F186" s="13" t="s">
        <v>549</v>
      </c>
      <c r="G186" s="14" t="s">
        <v>550</v>
      </c>
      <c r="H186" s="13" t="s">
        <v>52</v>
      </c>
      <c r="I186" s="13"/>
    </row>
    <row r="187" spans="1:9">
      <c r="A187" s="12" t="s">
        <v>551</v>
      </c>
      <c r="B187" s="13" t="s">
        <v>530</v>
      </c>
      <c r="C187" s="13" t="s">
        <v>531</v>
      </c>
      <c r="D187" s="13" t="s">
        <v>71</v>
      </c>
      <c r="E187" s="14" t="s">
        <v>72</v>
      </c>
      <c r="F187" s="13" t="s">
        <v>552</v>
      </c>
      <c r="G187" s="14" t="s">
        <v>553</v>
      </c>
      <c r="H187" s="13" t="s">
        <v>52</v>
      </c>
      <c r="I187" s="13"/>
    </row>
    <row r="188" spans="1:9">
      <c r="A188" s="12" t="s">
        <v>554</v>
      </c>
      <c r="B188" s="13" t="s">
        <v>530</v>
      </c>
      <c r="C188" s="13" t="s">
        <v>531</v>
      </c>
      <c r="D188" s="13" t="s">
        <v>71</v>
      </c>
      <c r="E188" s="14" t="s">
        <v>72</v>
      </c>
      <c r="F188" s="13" t="s">
        <v>555</v>
      </c>
      <c r="G188" s="14" t="s">
        <v>556</v>
      </c>
      <c r="H188" s="13" t="s">
        <v>52</v>
      </c>
      <c r="I188" s="13"/>
    </row>
    <row r="189" spans="1:9">
      <c r="A189" s="12" t="s">
        <v>557</v>
      </c>
      <c r="B189" s="13" t="s">
        <v>530</v>
      </c>
      <c r="C189" s="13" t="s">
        <v>531</v>
      </c>
      <c r="D189" s="13" t="s">
        <v>71</v>
      </c>
      <c r="E189" s="14" t="s">
        <v>72</v>
      </c>
      <c r="F189" s="13" t="s">
        <v>558</v>
      </c>
      <c r="G189" s="14" t="s">
        <v>559</v>
      </c>
      <c r="H189" s="13" t="s">
        <v>52</v>
      </c>
      <c r="I189" s="13"/>
    </row>
    <row r="190" spans="1:9">
      <c r="A190" s="16" t="s">
        <v>560</v>
      </c>
      <c r="B190" s="17" t="s">
        <v>530</v>
      </c>
      <c r="C190" s="17" t="s">
        <v>531</v>
      </c>
      <c r="D190" s="17" t="s">
        <v>103</v>
      </c>
      <c r="E190" s="18" t="s">
        <v>104</v>
      </c>
      <c r="F190" s="17" t="s">
        <v>561</v>
      </c>
      <c r="G190" s="18" t="s">
        <v>562</v>
      </c>
      <c r="H190" s="17" t="s">
        <v>52</v>
      </c>
      <c r="I190" s="17"/>
    </row>
    <row r="191" spans="1:9">
      <c r="A191" s="16" t="s">
        <v>563</v>
      </c>
      <c r="B191" s="17" t="s">
        <v>530</v>
      </c>
      <c r="C191" s="17" t="s">
        <v>531</v>
      </c>
      <c r="D191" s="17" t="s">
        <v>103</v>
      </c>
      <c r="E191" s="18" t="s">
        <v>104</v>
      </c>
      <c r="F191" s="17" t="s">
        <v>564</v>
      </c>
      <c r="G191" s="18" t="s">
        <v>565</v>
      </c>
      <c r="H191" s="19" t="s">
        <v>67</v>
      </c>
      <c r="I191" s="17"/>
    </row>
    <row r="192" spans="1:9">
      <c r="A192" s="16" t="s">
        <v>566</v>
      </c>
      <c r="B192" s="17" t="s">
        <v>530</v>
      </c>
      <c r="C192" s="17" t="s">
        <v>531</v>
      </c>
      <c r="D192" s="17" t="s">
        <v>103</v>
      </c>
      <c r="E192" s="18" t="s">
        <v>104</v>
      </c>
      <c r="F192" s="17" t="s">
        <v>73</v>
      </c>
      <c r="G192" s="18" t="s">
        <v>567</v>
      </c>
      <c r="H192" s="19" t="s">
        <v>67</v>
      </c>
      <c r="I192" s="17"/>
    </row>
    <row r="193" spans="1:9">
      <c r="A193" s="16" t="s">
        <v>568</v>
      </c>
      <c r="B193" s="17" t="s">
        <v>530</v>
      </c>
      <c r="C193" s="17" t="s">
        <v>531</v>
      </c>
      <c r="D193" s="17" t="s">
        <v>103</v>
      </c>
      <c r="E193" s="18" t="s">
        <v>104</v>
      </c>
      <c r="F193" s="17" t="s">
        <v>569</v>
      </c>
      <c r="G193" s="18" t="s">
        <v>570</v>
      </c>
      <c r="H193" s="19" t="s">
        <v>67</v>
      </c>
      <c r="I193" s="17"/>
    </row>
    <row r="194" spans="1:9">
      <c r="A194" s="16" t="s">
        <v>571</v>
      </c>
      <c r="B194" s="17" t="s">
        <v>530</v>
      </c>
      <c r="C194" s="17" t="s">
        <v>531</v>
      </c>
      <c r="D194" s="17" t="s">
        <v>103</v>
      </c>
      <c r="E194" s="18" t="s">
        <v>104</v>
      </c>
      <c r="F194" s="17" t="s">
        <v>527</v>
      </c>
      <c r="G194" s="18" t="s">
        <v>572</v>
      </c>
      <c r="H194" s="19" t="s">
        <v>67</v>
      </c>
      <c r="I194" s="17"/>
    </row>
  </sheetData>
  <autoFilter ref="A1:I19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zoomScaleNormal="100" workbookViewId="0"/>
  </sheetViews>
  <sheetFormatPr defaultColWidth="8.7109375" defaultRowHeight="15"/>
  <cols>
    <col min="1" max="1" width="14" customWidth="1"/>
    <col min="2" max="2" width="34" customWidth="1"/>
    <col min="3" max="6" width="12" customWidth="1"/>
  </cols>
  <sheetData>
    <row r="1" spans="1:6">
      <c r="A1" s="20" t="s">
        <v>37</v>
      </c>
      <c r="B1" s="20" t="s">
        <v>38</v>
      </c>
      <c r="C1" s="20" t="s">
        <v>48</v>
      </c>
      <c r="D1" s="20" t="s">
        <v>71</v>
      </c>
      <c r="E1" s="20" t="s">
        <v>103</v>
      </c>
      <c r="F1" s="20" t="s">
        <v>573</v>
      </c>
    </row>
    <row r="2" spans="1:6">
      <c r="A2" s="21" t="s">
        <v>46</v>
      </c>
      <c r="B2" s="22" t="s">
        <v>47</v>
      </c>
      <c r="C2" s="22">
        <f>COUNTIFS(Upload_Master!$B:$B,$A2,Upload_Master!$D:$D,"0-3 yrs")</f>
        <v>7</v>
      </c>
      <c r="D2" s="22">
        <f>COUNTIFS(Upload_Master!$B:$B,$A2,Upload_Master!$D:$D,"3-7 yrs")</f>
        <v>12</v>
      </c>
      <c r="E2" s="22">
        <f>COUNTIFS(Upload_Master!$B:$B,$A2,Upload_Master!$D:$D,"7+ yrs")</f>
        <v>10</v>
      </c>
      <c r="F2" s="21">
        <f>SUM(C2:E2)</f>
        <v>29</v>
      </c>
    </row>
    <row r="3" spans="1:6">
      <c r="A3" s="21" t="s">
        <v>132</v>
      </c>
      <c r="B3" s="22" t="s">
        <v>133</v>
      </c>
      <c r="C3" s="22">
        <f>COUNTIFS(Upload_Master!$B:$B,$A3,Upload_Master!$D:$D,"0-3 yrs")</f>
        <v>5</v>
      </c>
      <c r="D3" s="22">
        <f>COUNTIFS(Upload_Master!$B:$B,$A3,Upload_Master!$D:$D,"3-7 yrs")</f>
        <v>8</v>
      </c>
      <c r="E3" s="22">
        <f>COUNTIFS(Upload_Master!$B:$B,$A3,Upload_Master!$D:$D,"7+ yrs")</f>
        <v>7</v>
      </c>
      <c r="F3" s="21">
        <f>SUM(C3:E3)</f>
        <v>20</v>
      </c>
    </row>
    <row r="4" spans="1:6">
      <c r="A4" s="21" t="s">
        <v>181</v>
      </c>
      <c r="B4" s="22" t="s">
        <v>182</v>
      </c>
      <c r="C4" s="22">
        <f>COUNTIFS(Upload_Master!$B:$B,$A4,Upload_Master!$D:$D,"0-3 yrs")</f>
        <v>6</v>
      </c>
      <c r="D4" s="22">
        <f>COUNTIFS(Upload_Master!$B:$B,$A4,Upload_Master!$D:$D,"3-7 yrs")</f>
        <v>13</v>
      </c>
      <c r="E4" s="22">
        <f>COUNTIFS(Upload_Master!$B:$B,$A4,Upload_Master!$D:$D,"7+ yrs")</f>
        <v>4</v>
      </c>
      <c r="F4" s="21">
        <f>SUM(C4:E4)</f>
        <v>23</v>
      </c>
    </row>
    <row r="5" spans="1:6">
      <c r="A5" s="21" t="s">
        <v>241</v>
      </c>
      <c r="B5" s="22" t="s">
        <v>242</v>
      </c>
      <c r="C5" s="22">
        <f>COUNTIFS(Upload_Master!$B:$B,$A5,Upload_Master!$D:$D,"0-3 yrs")</f>
        <v>5</v>
      </c>
      <c r="D5" s="22">
        <f>COUNTIFS(Upload_Master!$B:$B,$A5,Upload_Master!$D:$D,"3-7 yrs")</f>
        <v>11</v>
      </c>
      <c r="E5" s="22">
        <f>COUNTIFS(Upload_Master!$B:$B,$A5,Upload_Master!$D:$D,"7+ yrs")</f>
        <v>5</v>
      </c>
      <c r="F5" s="21">
        <f>SUM(C5:E5)</f>
        <v>21</v>
      </c>
    </row>
    <row r="6" spans="1:6">
      <c r="A6" s="21" t="s">
        <v>296</v>
      </c>
      <c r="B6" s="22" t="s">
        <v>297</v>
      </c>
      <c r="C6" s="22">
        <f>COUNTIFS(Upload_Master!$B:$B,$A6,Upload_Master!$D:$D,"0-3 yrs")</f>
        <v>5</v>
      </c>
      <c r="D6" s="22">
        <f>COUNTIFS(Upload_Master!$B:$B,$A6,Upload_Master!$D:$D,"3-7 yrs")</f>
        <v>9</v>
      </c>
      <c r="E6" s="22">
        <f>COUNTIFS(Upload_Master!$B:$B,$A6,Upload_Master!$D:$D,"7+ yrs")</f>
        <v>5</v>
      </c>
      <c r="F6" s="21">
        <f>SUM(C6:E6)</f>
        <v>19</v>
      </c>
    </row>
    <row r="7" spans="1:6">
      <c r="A7" s="21" t="s">
        <v>349</v>
      </c>
      <c r="B7" s="22" t="s">
        <v>350</v>
      </c>
      <c r="C7" s="22">
        <f>COUNTIFS(Upload_Master!$B:$B,$A7,Upload_Master!$D:$D,"0-3 yrs")</f>
        <v>6</v>
      </c>
      <c r="D7" s="22">
        <f>COUNTIFS(Upload_Master!$B:$B,$A7,Upload_Master!$D:$D,"3-7 yrs")</f>
        <v>7</v>
      </c>
      <c r="E7" s="22">
        <f>COUNTIFS(Upload_Master!$B:$B,$A7,Upload_Master!$D:$D,"7+ yrs")</f>
        <v>5</v>
      </c>
      <c r="F7" s="21">
        <f>SUM(C7:E7)</f>
        <v>18</v>
      </c>
    </row>
    <row r="8" spans="1:6">
      <c r="A8" s="21" t="s">
        <v>401</v>
      </c>
      <c r="B8" s="22" t="s">
        <v>402</v>
      </c>
      <c r="C8" s="22">
        <f>COUNTIFS(Upload_Master!$B:$B,$A8,Upload_Master!$D:$D,"0-3 yrs")</f>
        <v>4</v>
      </c>
      <c r="D8" s="22">
        <f>COUNTIFS(Upload_Master!$B:$B,$A8,Upload_Master!$D:$D,"3-7 yrs")</f>
        <v>8</v>
      </c>
      <c r="E8" s="22">
        <f>COUNTIFS(Upload_Master!$B:$B,$A8,Upload_Master!$D:$D,"7+ yrs")</f>
        <v>5</v>
      </c>
      <c r="F8" s="21">
        <f>SUM(C8:E8)</f>
        <v>17</v>
      </c>
    </row>
    <row r="9" spans="1:6">
      <c r="A9" s="21" t="s">
        <v>445</v>
      </c>
      <c r="B9" s="22" t="s">
        <v>446</v>
      </c>
      <c r="C9" s="22">
        <f>COUNTIFS(Upload_Master!$B:$B,$A9,Upload_Master!$D:$D,"0-3 yrs")</f>
        <v>4</v>
      </c>
      <c r="D9" s="22">
        <f>COUNTIFS(Upload_Master!$B:$B,$A9,Upload_Master!$D:$D,"3-7 yrs")</f>
        <v>6</v>
      </c>
      <c r="E9" s="22">
        <f>COUNTIFS(Upload_Master!$B:$B,$A9,Upload_Master!$D:$D,"7+ yrs")</f>
        <v>7</v>
      </c>
      <c r="F9" s="21">
        <f>SUM(C9:E9)</f>
        <v>17</v>
      </c>
    </row>
    <row r="10" spans="1:6">
      <c r="A10" s="21" t="s">
        <v>489</v>
      </c>
      <c r="B10" s="22" t="s">
        <v>490</v>
      </c>
      <c r="C10" s="22">
        <f>COUNTIFS(Upload_Master!$B:$B,$A10,Upload_Master!$D:$D,"0-3 yrs")</f>
        <v>3</v>
      </c>
      <c r="D10" s="22">
        <f>COUNTIFS(Upload_Master!$B:$B,$A10,Upload_Master!$D:$D,"3-7 yrs")</f>
        <v>6</v>
      </c>
      <c r="E10" s="22">
        <f>COUNTIFS(Upload_Master!$B:$B,$A10,Upload_Master!$D:$D,"7+ yrs")</f>
        <v>5</v>
      </c>
      <c r="F10" s="21">
        <f>SUM(C10:E10)</f>
        <v>14</v>
      </c>
    </row>
    <row r="11" spans="1:6">
      <c r="A11" s="21" t="s">
        <v>530</v>
      </c>
      <c r="B11" s="22" t="s">
        <v>531</v>
      </c>
      <c r="C11" s="22">
        <f>COUNTIFS(Upload_Master!$B:$B,$A11,Upload_Master!$D:$D,"0-3 yrs")</f>
        <v>4</v>
      </c>
      <c r="D11" s="22">
        <f>COUNTIFS(Upload_Master!$B:$B,$A11,Upload_Master!$D:$D,"3-7 yrs")</f>
        <v>6</v>
      </c>
      <c r="E11" s="22">
        <f>COUNTIFS(Upload_Master!$B:$B,$A11,Upload_Master!$D:$D,"7+ yrs")</f>
        <v>5</v>
      </c>
      <c r="F11" s="21">
        <f>SUM(C11:E11)</f>
        <v>15</v>
      </c>
    </row>
    <row r="12" spans="1:6">
      <c r="B12" s="23" t="s">
        <v>574</v>
      </c>
      <c r="C12" s="24">
        <f>SUM(C2:C11)</f>
        <v>49</v>
      </c>
      <c r="D12" s="24">
        <f>SUM(D2:D11)</f>
        <v>86</v>
      </c>
      <c r="E12" s="24">
        <f>SUM(E2:E11)</f>
        <v>58</v>
      </c>
      <c r="F12" s="24">
        <f>SUM(F2:F11)</f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zoomScaleNormal="100" workbookViewId="0"/>
  </sheetViews>
  <sheetFormatPr defaultColWidth="8.7109375" defaultRowHeight="15"/>
  <cols>
    <col min="1" max="1" width="26" customWidth="1"/>
    <col min="2" max="2" width="12" customWidth="1"/>
    <col min="3" max="3" width="60" customWidth="1"/>
  </cols>
  <sheetData>
    <row r="1" spans="1:3">
      <c r="A1" s="20" t="s">
        <v>575</v>
      </c>
      <c r="B1" s="20" t="s">
        <v>576</v>
      </c>
      <c r="C1" s="20" t="s">
        <v>577</v>
      </c>
    </row>
    <row r="2" spans="1:3">
      <c r="A2" s="22" t="s">
        <v>21</v>
      </c>
      <c r="B2" s="22">
        <v>5</v>
      </c>
      <c r="C2" s="22" t="s">
        <v>22</v>
      </c>
    </row>
    <row r="3" spans="1:3">
      <c r="A3" s="22" t="s">
        <v>23</v>
      </c>
      <c r="B3" s="22">
        <v>4</v>
      </c>
      <c r="C3" s="22" t="s">
        <v>24</v>
      </c>
    </row>
    <row r="4" spans="1:3">
      <c r="A4" s="22" t="s">
        <v>25</v>
      </c>
      <c r="B4" s="22">
        <v>3</v>
      </c>
      <c r="C4" s="22" t="s">
        <v>26</v>
      </c>
    </row>
    <row r="5" spans="1:3">
      <c r="A5" s="22" t="s">
        <v>27</v>
      </c>
      <c r="B5" s="22">
        <v>2</v>
      </c>
      <c r="C5" s="22" t="s">
        <v>28</v>
      </c>
    </row>
    <row r="6" spans="1:3">
      <c r="A6" s="22" t="s">
        <v>29</v>
      </c>
      <c r="B6" s="22">
        <v>1</v>
      </c>
      <c r="C6" s="22" t="s">
        <v>30</v>
      </c>
    </row>
    <row r="7" spans="1:3">
      <c r="A7" s="22" t="s">
        <v>31</v>
      </c>
      <c r="B7" s="22">
        <v>0</v>
      </c>
      <c r="C7" s="22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Dhruv Dalal</cp:lastModifiedBy>
  <cp:revision>0</cp:revision>
  <dcterms:created xsi:type="dcterms:W3CDTF">2026-07-18T10:15:20Z</dcterms:created>
  <dcterms:modified xsi:type="dcterms:W3CDTF">2026-07-18T10:20:14Z</dcterms:modified>
  <cp:category/>
  <cp:contentStatus/>
</cp:coreProperties>
</file>